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372AB895-14C1-FC20-EB20-F1B4BCFD95AE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7D548BDF-7465-4726-BA31-E08A916EFD83}" xr6:coauthVersionLast="47" xr6:coauthVersionMax="47" xr10:uidLastSave="{00000000-0000-0000-0000-000000000000}"/>
  <bookViews>
    <workbookView xWindow="-108" yWindow="-108" windowWidth="23256" windowHeight="12456" tabRatio="849" activeTab="6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C22" i="19"/>
  <c r="H45" i="1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16" i="16"/>
  <c r="F17" i="16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C5" i="15"/>
  <c r="B15" i="18"/>
  <c r="B6" i="18"/>
  <c r="B7" i="18"/>
  <c r="C7" i="18"/>
  <c r="D7" i="18"/>
  <c r="E7" i="18"/>
  <c r="F7" i="18"/>
  <c r="B8" i="18"/>
  <c r="C8" i="18"/>
  <c r="D8" i="18"/>
  <c r="E8" i="18"/>
  <c r="F8" i="18"/>
  <c r="B9" i="18"/>
  <c r="C9" i="18"/>
  <c r="D9" i="18"/>
  <c r="E9" i="18"/>
  <c r="F9" i="18"/>
  <c r="B10" i="18"/>
  <c r="C10" i="18"/>
  <c r="D10" i="18"/>
  <c r="E10" i="18"/>
  <c r="F10" i="18"/>
  <c r="B11" i="18"/>
  <c r="C11" i="18"/>
  <c r="D11" i="18"/>
  <c r="E11" i="18"/>
  <c r="F11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C15" i="18"/>
  <c r="D15" i="18"/>
  <c r="E15" i="18"/>
  <c r="F15" i="18"/>
  <c r="B16" i="18"/>
  <c r="C16" i="18"/>
  <c r="D16" i="18"/>
  <c r="E16" i="18"/>
  <c r="F16" i="18"/>
  <c r="B17" i="18"/>
  <c r="C17" i="18"/>
  <c r="D17" i="18"/>
  <c r="E17" i="18"/>
  <c r="F17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23" i="18"/>
  <c r="C23" i="18"/>
  <c r="D23" i="18"/>
  <c r="E23" i="18"/>
  <c r="F23" i="18"/>
  <c r="B24" i="18"/>
  <c r="C24" i="18"/>
  <c r="D24" i="18"/>
  <c r="E24" i="18"/>
  <c r="F24" i="18"/>
  <c r="B25" i="18"/>
  <c r="C25" i="18"/>
  <c r="D25" i="18"/>
  <c r="E25" i="18"/>
  <c r="F25" i="18"/>
  <c r="B26" i="18"/>
  <c r="C26" i="18"/>
  <c r="D26" i="18"/>
  <c r="E26" i="18"/>
  <c r="F26" i="18"/>
  <c r="B27" i="18"/>
  <c r="C27" i="18"/>
  <c r="D27" i="18"/>
  <c r="E27" i="18"/>
  <c r="F27" i="18"/>
  <c r="C6" i="18"/>
  <c r="D6" i="18"/>
  <c r="E6" i="18"/>
  <c r="F6" i="18"/>
  <c r="D29" i="18" l="1"/>
  <c r="F30" i="18"/>
  <c r="E30" i="18"/>
  <c r="E29" i="18"/>
  <c r="C28" i="18"/>
  <c r="C30" i="18"/>
  <c r="F29" i="18"/>
  <c r="C29" i="18"/>
  <c r="D30" i="18"/>
  <c r="F28" i="18"/>
  <c r="E28" i="18"/>
  <c r="D28" i="18"/>
  <c r="B28" i="18"/>
  <c r="B30" i="18"/>
  <c r="B29" i="18"/>
</calcChain>
</file>

<file path=xl/sharedStrings.xml><?xml version="1.0" encoding="utf-8"?>
<sst xmlns="http://schemas.openxmlformats.org/spreadsheetml/2006/main" count="340" uniqueCount="196">
  <si>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</si>
  <si>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</si>
  <si>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</si>
  <si>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</si>
  <si>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</si>
  <si>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</si>
  <si>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</si>
  <si>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</si>
  <si>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</si>
  <si>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</si>
  <si>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</si>
  <si>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</si>
  <si>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</si>
  <si>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</si>
  <si>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</si>
  <si>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</si>
  <si>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</si>
  <si>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</si>
  <si>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</si>
  <si>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</si>
  <si>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</si>
  <si>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</si>
  <si>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</si>
  <si>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</si>
  <si>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</si>
  <si>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</si>
  <si>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</si>
  <si>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</si>
  <si>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</si>
  <si>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</si>
  <si>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</si>
  <si>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</si>
  <si>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</si>
  <si>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</si>
  <si>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</si>
  <si>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</si>
  <si>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</si>
  <si>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</si>
  <si>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</si>
  <si>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</si>
  <si>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</si>
  <si>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</si>
  <si>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</si>
  <si>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</si>
  <si>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</si>
  <si>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</si>
  <si>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</si>
  <si>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</si>
  <si>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</si>
  <si>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</si>
  <si>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</si>
  <si>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</si>
  <si>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</si>
  <si>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</si>
  <si>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</si>
  <si>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</si>
  <si>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</si>
  <si>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</si>
  <si>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</si>
  <si>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</si>
  <si>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</si>
  <si>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</si>
  <si>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</si>
  <si>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</si>
  <si>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</si>
  <si>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</si>
  <si>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</si>
  <si>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</si>
  <si>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</si>
  <si>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</si>
  <si>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</si>
  <si>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</si>
  <si>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</si>
  <si>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</si>
  <si>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</si>
  <si>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</si>
  <si>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</si>
  <si>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</si>
  <si>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</si>
  <si>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</si>
  <si>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</si>
  <si>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</si>
  <si>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</si>
  <si>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</si>
  <si>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</si>
  <si>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</si>
  <si>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</si>
  <si>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</si>
  <si>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</si>
  <si>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</si>
  <si>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</si>
  <si>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</si>
  <si>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</si>
  <si>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</si>
  <si>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</si>
  <si>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</si>
  <si>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</si>
  <si>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</si>
  <si>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</si>
  <si>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</si>
  <si>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</si>
  <si>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</si>
  <si>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</si>
  <si>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</si>
  <si>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</si>
  <si>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</si>
  <si>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</si>
  <si>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</si>
  <si>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</si>
  <si>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</si>
  <si>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</si>
  <si>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</si>
  <si>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</si>
  <si>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</si>
  <si>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</si>
  <si>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</si>
  <si>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</si>
  <si>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</si>
  <si>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</si>
  <si>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</si>
  <si>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</si>
  <si>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</si>
  <si>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</si>
  <si>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</si>
  <si>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</si>
  <si>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</si>
  <si>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</si>
  <si>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</si>
  <si>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</si>
  <si>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</si>
  <si>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</si>
  <si>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</si>
  <si>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</si>
  <si>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</si>
  <si>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</si>
  <si>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</si>
  <si>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</si>
  <si>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</si>
  <si>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</si>
  <si>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</si>
  <si>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</si>
  <si>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</si>
  <si>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</si>
  <si>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</si>
  <si>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</si>
  <si>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</si>
  <si>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</si>
  <si>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</si>
  <si>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</si>
  <si>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</si>
  <si>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</si>
  <si>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</si>
  <si>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</si>
  <si>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</si>
  <si>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</si>
  <si>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</si>
  <si>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</si>
  <si>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</si>
  <si>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</si>
  <si>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</si>
  <si>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</si>
  <si>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</si>
  <si>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</si>
  <si>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</si>
  <si>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</si>
  <si>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</si>
  <si>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</si>
  <si>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</si>
  <si>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</si>
  <si>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</si>
  <si>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</si>
  <si>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</si>
  <si>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</si>
  <si>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</si>
  <si>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</si>
  <si>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</si>
  <si>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</si>
  <si>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used conditional formatting with conditions like -&gt; "0","-1"</t>
  </si>
  <si>
    <t>View tab -&gt; Freeze Panes -&gt; Freeze Top Row</t>
  </si>
  <si>
    <t>Here I have used "sumif" because only 1 condition is given</t>
  </si>
  <si>
    <t>Selected the "date" column -&gt; Right Click -&gt; Format Cells -&gt; Number tab -&gt; Custom -&gt; Type -&gt; YYYY-MM-DD</t>
  </si>
  <si>
    <t>Sum value-&gt;</t>
  </si>
  <si>
    <t>Explanations for "Task 1" below</t>
  </si>
  <si>
    <t>Explanation below for "Task 2"</t>
  </si>
  <si>
    <t>used functions like Max, Min, Average</t>
  </si>
  <si>
    <t>Explanation</t>
  </si>
  <si>
    <t>Used Right, Left, Mid, Find funcion to make it dynamic otherwise I may have used text to split to manuplate the data without the dynamic factor</t>
  </si>
  <si>
    <t>Find and replace,sum</t>
  </si>
  <si>
    <t>Selected the range from $B$12:$B$21 -&gt; used sum function/ Alt + =</t>
  </si>
  <si>
    <t>Explanation 2:</t>
  </si>
  <si>
    <t>Explanation 1 :</t>
  </si>
  <si>
    <t>Selected the range from B12:B21 -&gt; Ctrl + H/Find and Replace -&gt; Find what: #N/A -&gt; Replace with: 20-&gt; Replace All</t>
  </si>
  <si>
    <t>Index and Match</t>
  </si>
  <si>
    <t>used Index, match formula because it allows to lookup the data in a reverse manner also which is not possible with vlookup hence I prefer Index Match</t>
  </si>
  <si>
    <t>Used Index, match formula because it allows to lookup the data in a reverse manner also which is not possible with vlookup hence I prefer Index Match</t>
  </si>
  <si>
    <t>Right, Left, Mid, Find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</si>
</sst>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"/>
  </numFmts>
  <fonts count="17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6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4" fillId="0" borderId="0" xfId="0" applyFont="1"/>
    <xf numFmtId="0" fontId="15" fillId="0" borderId="0" xfId="0" applyFont="1"/>
    <xf numFmtId="0" fontId="16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3" fillId="6" borderId="0" xfId="0" applyFont="1" applyFill="1"/>
    <xf numFmtId="0" fontId="3" fillId="6" borderId="1" xfId="0" applyFont="1" applyFill="1" applyBorder="1"/>
    <xf numFmtId="166" fontId="3" fillId="0" borderId="0" xfId="0" applyNumberFormat="1" applyFont="1"/>
    <xf numFmtId="0" fontId="8" fillId="6" borderId="0" xfId="0" applyFont="1" applyFill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="160" zoomScaleNormal="160" workbookViewId="0">
      <selection activeCell="B14" sqref="B14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3" t="s">
        <v>170</v>
      </c>
      <c r="B9" s="24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169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5"/>
  <sheetViews>
    <sheetView topLeftCell="I1" zoomScale="70" zoomScaleNormal="70" workbookViewId="0">
      <pane ySplit="1" topLeftCell="A5" activePane="bottomLeft" state="frozen"/>
      <selection activeCell="E1" sqref="E1"/>
      <selection pane="bottomLeft" activeCell="W20" sqref="W20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3.77734375" style="1" customWidth="1"/>
    <col min="25" max="25" width="14" style="1" customWidth="1"/>
    <col min="26" max="16384" width="9" style="1"/>
  </cols>
  <sheetData>
    <row r="1" spans="1:25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105</v>
      </c>
    </row>
    <row r="2" spans="1:25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4">
        <v>45051</v>
      </c>
      <c r="Y2" s="44"/>
    </row>
    <row r="3" spans="1:25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4">
        <v>45048</v>
      </c>
      <c r="Y3" s="44"/>
    </row>
    <row r="4" spans="1:25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4">
        <v>45055</v>
      </c>
      <c r="Y4" s="44"/>
    </row>
    <row r="5" spans="1:25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4">
        <v>45059</v>
      </c>
      <c r="Y5" s="44"/>
    </row>
    <row r="6" spans="1:25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4">
        <v>45076</v>
      </c>
      <c r="Y6" s="44"/>
    </row>
    <row r="7" spans="1:25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4">
        <v>45057</v>
      </c>
      <c r="Y7" s="44"/>
    </row>
    <row r="8" spans="1:25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4">
        <v>45052</v>
      </c>
      <c r="Y8" s="44"/>
    </row>
    <row r="9" spans="1:25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4">
        <v>45098</v>
      </c>
      <c r="Y9" s="44"/>
    </row>
    <row r="10" spans="1:25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4">
        <v>45092</v>
      </c>
      <c r="Y10" s="44"/>
    </row>
    <row r="11" spans="1:25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4">
        <v>45104</v>
      </c>
      <c r="Y11" s="44"/>
    </row>
    <row r="12" spans="1:25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4">
        <v>45116</v>
      </c>
      <c r="Y12" s="44"/>
    </row>
    <row r="13" spans="1:25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4">
        <v>45110</v>
      </c>
      <c r="Y13" s="44"/>
    </row>
    <row r="14" spans="1:25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4">
        <v>45095</v>
      </c>
      <c r="Y14" s="44"/>
    </row>
    <row r="15" spans="1:25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4">
        <v>45113</v>
      </c>
      <c r="Y15" s="44"/>
    </row>
    <row r="16" spans="1:25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4">
        <v>45063</v>
      </c>
      <c r="Y16" s="44"/>
    </row>
    <row r="17" spans="1:25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4">
        <v>45071</v>
      </c>
      <c r="Y17" s="44"/>
    </row>
    <row r="18" spans="1:25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4">
        <v>45085</v>
      </c>
      <c r="Y18" s="44"/>
    </row>
    <row r="19" spans="1:25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4">
        <v>45099</v>
      </c>
      <c r="Y19" s="44"/>
    </row>
    <row r="20" spans="1:25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4">
        <v>45091</v>
      </c>
      <c r="Y20" s="44"/>
    </row>
    <row r="21" spans="1:25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4">
        <v>45079</v>
      </c>
      <c r="Y21" s="44"/>
    </row>
    <row r="22" spans="1:25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4">
        <v>45075</v>
      </c>
      <c r="Y22" s="44"/>
    </row>
    <row r="23" spans="1:25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4">
        <v>45110</v>
      </c>
      <c r="Y23" s="44"/>
    </row>
    <row r="24" spans="1:25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4">
        <v>45114</v>
      </c>
      <c r="Y24" s="44"/>
    </row>
    <row r="25" spans="1:25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4">
        <v>45118</v>
      </c>
      <c r="Y25" s="44"/>
    </row>
    <row r="26" spans="1:25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4">
        <v>45142</v>
      </c>
      <c r="Y26" s="44"/>
    </row>
    <row r="27" spans="1:25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4">
        <v>45146</v>
      </c>
      <c r="Y27" s="44"/>
    </row>
    <row r="28" spans="1:25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4">
        <v>45108</v>
      </c>
      <c r="Y28" s="44"/>
    </row>
    <row r="29" spans="1:25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4">
        <v>45153</v>
      </c>
      <c r="Y29" s="44"/>
    </row>
    <row r="30" spans="1:25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4">
        <v>45150</v>
      </c>
      <c r="Y30" s="44"/>
    </row>
    <row r="31" spans="1:25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4">
        <v>45157</v>
      </c>
      <c r="Y31" s="44"/>
    </row>
    <row r="32" spans="1:25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4">
        <v>45143</v>
      </c>
      <c r="Y32" s="44"/>
    </row>
    <row r="33" spans="1:25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4">
        <v>45166</v>
      </c>
      <c r="Y33" s="44"/>
    </row>
    <row r="34" spans="1:25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4">
        <v>45162</v>
      </c>
      <c r="Y34" s="44"/>
    </row>
    <row r="35" spans="1:25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4">
        <v>45160</v>
      </c>
      <c r="Y35" s="44"/>
    </row>
    <row r="36" spans="1:25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4">
        <v>45179</v>
      </c>
      <c r="Y36" s="44"/>
    </row>
    <row r="37" spans="1:25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4">
        <v>45157</v>
      </c>
      <c r="Y37" s="44"/>
    </row>
    <row r="38" spans="1:25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4">
        <v>45143</v>
      </c>
      <c r="Y38" s="44"/>
    </row>
    <row r="39" spans="1:25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4">
        <v>45166</v>
      </c>
      <c r="Y39" s="44"/>
    </row>
    <row r="40" spans="1:25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4">
        <v>45162</v>
      </c>
      <c r="Y40" s="44"/>
    </row>
    <row r="45" spans="1:25" x14ac:dyDescent="0.3">
      <c r="G45" s="43" t="s">
        <v>181</v>
      </c>
      <c r="H45" s="43">
        <f>SUMIF($H$2:$H$40,"&gt;20",$H$2:$H$40)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G2:W40">
    <cfRule type="cellIs" dxfId="1" priority="1" operator="equal">
      <formula>-1</formula>
    </cfRule>
    <cfRule type="cellIs" dxfId="0" priority="2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E3" sqref="E3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66.88671875" style="1" customWidth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D1" s="42" t="s">
        <v>182</v>
      </c>
      <c r="E1" s="4" t="s">
        <v>175</v>
      </c>
    </row>
    <row r="2" spans="1:5" x14ac:dyDescent="0.3">
      <c r="A2" s="2"/>
      <c r="B2" s="5" t="s">
        <v>159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D3" s="1" t="s">
        <v>177</v>
      </c>
      <c r="E3" s="1">
        <v>5</v>
      </c>
    </row>
    <row r="4" spans="1:5" x14ac:dyDescent="0.3">
      <c r="A4" s="6">
        <v>2</v>
      </c>
      <c r="B4" s="2" t="s">
        <v>46</v>
      </c>
      <c r="C4" s="2"/>
      <c r="D4" s="1" t="s">
        <v>178</v>
      </c>
      <c r="E4" s="1">
        <v>5</v>
      </c>
    </row>
    <row r="5" spans="1:5" x14ac:dyDescent="0.3">
      <c r="A5" s="6">
        <v>3</v>
      </c>
      <c r="B5" s="2" t="s">
        <v>104</v>
      </c>
      <c r="C5" s="1">
        <f>SUMIF(Dataset!$H$2:$H$40,"&gt;20",Dataset!$H$2:$H$40)</f>
        <v>1473.0000000000002</v>
      </c>
      <c r="D5" s="1" t="s">
        <v>179</v>
      </c>
      <c r="E5" s="1">
        <v>10</v>
      </c>
    </row>
    <row r="6" spans="1:5" ht="12.6" customHeight="1" x14ac:dyDescent="0.3">
      <c r="A6" s="6">
        <v>4</v>
      </c>
      <c r="B6" s="2" t="s">
        <v>106</v>
      </c>
      <c r="D6" s="1" t="s">
        <v>180</v>
      </c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H30"/>
  <sheetViews>
    <sheetView topLeftCell="A7" zoomScale="85" zoomScaleNormal="85" workbookViewId="0">
      <selection activeCell="H29" sqref="H29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24.5546875" style="2" customWidth="1"/>
    <col min="9" max="16384" width="11" style="2"/>
  </cols>
  <sheetData>
    <row r="1" spans="1:8" s="38" customFormat="1" ht="21" x14ac:dyDescent="0.4">
      <c r="A1" s="39" t="s">
        <v>55</v>
      </c>
      <c r="B1" s="38" t="s">
        <v>163</v>
      </c>
    </row>
    <row r="2" spans="1:8" s="38" customFormat="1" ht="21" x14ac:dyDescent="0.4">
      <c r="B2" s="38" t="s">
        <v>160</v>
      </c>
    </row>
    <row r="3" spans="1:8" ht="14.4" x14ac:dyDescent="0.3">
      <c r="A3" s="1"/>
      <c r="B3" s="1"/>
      <c r="C3" s="1"/>
      <c r="D3" s="1"/>
      <c r="E3" s="1"/>
      <c r="F3" s="1"/>
      <c r="G3" s="1"/>
    </row>
    <row r="4" spans="1:8" ht="23.4" x14ac:dyDescent="0.45">
      <c r="A4" s="16" t="s">
        <v>161</v>
      </c>
      <c r="B4" s="1"/>
      <c r="C4" s="1"/>
      <c r="D4" s="1"/>
      <c r="E4" s="1"/>
      <c r="F4" s="1"/>
      <c r="G4" s="1"/>
    </row>
    <row r="5" spans="1:8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  <c r="H5" s="45" t="s">
        <v>183</v>
      </c>
    </row>
    <row r="6" spans="1:8" ht="14.4" x14ac:dyDescent="0.3">
      <c r="A6" s="7" t="s">
        <v>40</v>
      </c>
      <c r="B6" s="10">
        <f>INDEX(Dataset!$G$2:$W$40,MATCH(Task_2!$A6,Dataset!$A$2:$A$40,0),MATCH(Task_2!B$5,Dataset!$G$1:$W$1,0))</f>
        <v>2.7</v>
      </c>
      <c r="C6" s="10">
        <f>INDEX(Dataset!$G$2:$W$40,MATCH(Task_2!$A6,Dataset!$A$2:$A$40,0),MATCH(Task_2!C$5,Dataset!$G$1:$W$1,0))</f>
        <v>7.6</v>
      </c>
      <c r="D6" s="10">
        <f>INDEX(Dataset!$G$2:$W$40,MATCH(Task_2!$A6,Dataset!$A$2:$A$40,0),MATCH(Task_2!D$5,Dataset!$G$1:$W$1,0))</f>
        <v>4.2</v>
      </c>
      <c r="E6" s="10">
        <f>INDEX(Dataset!$G$2:$W$40,MATCH(Task_2!$A6,Dataset!$A$2:$A$40,0),MATCH(Task_2!E$5,Dataset!$G$1:$W$1,0))</f>
        <v>8.9</v>
      </c>
      <c r="F6" s="10">
        <f>INDEX(Dataset!$G$2:$W$40,MATCH(Task_2!$A6,Dataset!$A$2:$A$40,0),MATCH(Task_2!F$5,Dataset!$G$1:$W$1,0))</f>
        <v>4.2</v>
      </c>
      <c r="H6" s="2" t="s">
        <v>193</v>
      </c>
    </row>
    <row r="7" spans="1:8" ht="14.4" x14ac:dyDescent="0.3">
      <c r="A7" s="7" t="s">
        <v>4</v>
      </c>
      <c r="B7" s="10">
        <f>INDEX(Dataset!$G$2:$W$40,MATCH(Task_2!$A7,Dataset!$A$2:$A$40,0),MATCH(Task_2!B$5,Dataset!$G$1:$W$1,0))</f>
        <v>2.7</v>
      </c>
      <c r="C7" s="10">
        <f>INDEX(Dataset!$G$2:$W$40,MATCH(Task_2!$A7,Dataset!$A$2:$A$40,0),MATCH(Task_2!C$5,Dataset!$G$1:$W$1,0))</f>
        <v>7.6</v>
      </c>
      <c r="D7" s="10">
        <f>INDEX(Dataset!$G$2:$W$40,MATCH(Task_2!$A7,Dataset!$A$2:$A$40,0),MATCH(Task_2!D$5,Dataset!$G$1:$W$1,0))</f>
        <v>4.2</v>
      </c>
      <c r="E7" s="10">
        <f>INDEX(Dataset!$G$2:$W$40,MATCH(Task_2!$A7,Dataset!$A$2:$A$40,0),MATCH(Task_2!E$5,Dataset!$G$1:$W$1,0))</f>
        <v>8.9</v>
      </c>
      <c r="F7" s="10">
        <f>INDEX(Dataset!$G$2:$W$40,MATCH(Task_2!$A7,Dataset!$A$2:$A$40,0),MATCH(Task_2!F$5,Dataset!$G$1:$W$1,0))</f>
        <v>4.2</v>
      </c>
    </row>
    <row r="8" spans="1:8" ht="14.4" x14ac:dyDescent="0.3">
      <c r="A8" s="7" t="s">
        <v>7</v>
      </c>
      <c r="B8" s="10">
        <f>INDEX(Dataset!$G$2:$W$40,MATCH(Task_2!$A8,Dataset!$A$2:$A$40,0),MATCH(Task_2!B$5,Dataset!$G$1:$W$1,0))</f>
        <v>3.6</v>
      </c>
      <c r="C8" s="10">
        <f>INDEX(Dataset!$G$2:$W$40,MATCH(Task_2!$A8,Dataset!$A$2:$A$40,0),MATCH(Task_2!C$5,Dataset!$G$1:$W$1,0))</f>
        <v>11.1</v>
      </c>
      <c r="D8" s="10">
        <f>INDEX(Dataset!$G$2:$W$40,MATCH(Task_2!$A8,Dataset!$A$2:$A$40,0),MATCH(Task_2!D$5,Dataset!$G$1:$W$1,0))</f>
        <v>5.8</v>
      </c>
      <c r="E8" s="10">
        <f>INDEX(Dataset!$G$2:$W$40,MATCH(Task_2!$A8,Dataset!$A$2:$A$40,0),MATCH(Task_2!E$5,Dataset!$G$1:$W$1,0))</f>
        <v>12.2</v>
      </c>
      <c r="F8" s="10">
        <f>INDEX(Dataset!$G$2:$W$40,MATCH(Task_2!$A8,Dataset!$A$2:$A$40,0),MATCH(Task_2!F$5,Dataset!$G$1:$W$1,0))</f>
        <v>5.8</v>
      </c>
    </row>
    <row r="9" spans="1:8" ht="14.4" x14ac:dyDescent="0.3">
      <c r="A9" s="7" t="s">
        <v>8</v>
      </c>
      <c r="B9" s="10">
        <f>INDEX(Dataset!$G$2:$W$40,MATCH(Task_2!$A9,Dataset!$A$2:$A$40,0),MATCH(Task_2!B$5,Dataset!$G$1:$W$1,0))</f>
        <v>4.9000000000000004</v>
      </c>
      <c r="C9" s="10">
        <f>INDEX(Dataset!$G$2:$W$40,MATCH(Task_2!$A9,Dataset!$A$2:$A$40,0),MATCH(Task_2!C$5,Dataset!$G$1:$W$1,0))</f>
        <v>13.3</v>
      </c>
      <c r="D9" s="10">
        <f>INDEX(Dataset!$G$2:$W$40,MATCH(Task_2!$A9,Dataset!$A$2:$A$40,0),MATCH(Task_2!D$5,Dataset!$G$1:$W$1,0))</f>
        <v>8.1</v>
      </c>
      <c r="E9" s="10">
        <f>INDEX(Dataset!$G$2:$W$40,MATCH(Task_2!$A9,Dataset!$A$2:$A$40,0),MATCH(Task_2!E$5,Dataset!$G$1:$W$1,0))</f>
        <v>17</v>
      </c>
      <c r="F9" s="10">
        <f>INDEX(Dataset!$G$2:$W$40,MATCH(Task_2!$A9,Dataset!$A$2:$A$40,0),MATCH(Task_2!F$5,Dataset!$G$1:$W$1,0))</f>
        <v>8.1</v>
      </c>
    </row>
    <row r="10" spans="1:8" ht="14.4" x14ac:dyDescent="0.3">
      <c r="A10" s="7" t="s">
        <v>11</v>
      </c>
      <c r="B10" s="10">
        <f>INDEX(Dataset!$G$2:$W$40,MATCH(Task_2!$A10,Dataset!$A$2:$A$40,0),MATCH(Task_2!B$5,Dataset!$G$1:$W$1,0))</f>
        <v>9.4</v>
      </c>
      <c r="C10" s="10">
        <f>INDEX(Dataset!$G$2:$W$40,MATCH(Task_2!$A10,Dataset!$A$2:$A$40,0),MATCH(Task_2!C$5,Dataset!$G$1:$W$1,0))</f>
        <v>28.3</v>
      </c>
      <c r="D10" s="10">
        <f>INDEX(Dataset!$G$2:$W$40,MATCH(Task_2!$A10,Dataset!$A$2:$A$40,0),MATCH(Task_2!D$5,Dataset!$G$1:$W$1,0))</f>
        <v>16.100000000000001</v>
      </c>
      <c r="E10" s="10">
        <f>INDEX(Dataset!$G$2:$W$40,MATCH(Task_2!$A10,Dataset!$A$2:$A$40,0),MATCH(Task_2!E$5,Dataset!$G$1:$W$1,0))</f>
        <v>32.799999999999997</v>
      </c>
      <c r="F10" s="10">
        <f>INDEX(Dataset!$G$2:$W$40,MATCH(Task_2!$A10,Dataset!$A$2:$A$40,0),MATCH(Task_2!F$5,Dataset!$G$1:$W$1,0))</f>
        <v>16.100000000000001</v>
      </c>
    </row>
    <row r="11" spans="1:8" ht="14.4" x14ac:dyDescent="0.3">
      <c r="A11" s="7" t="s">
        <v>12</v>
      </c>
      <c r="B11" s="10">
        <f>INDEX(Dataset!$G$2:$W$40,MATCH(Task_2!$A11,Dataset!$A$2:$A$40,0),MATCH(Task_2!B$5,Dataset!$G$1:$W$1,0))</f>
        <v>11.6</v>
      </c>
      <c r="C11" s="10">
        <f>INDEX(Dataset!$G$2:$W$40,MATCH(Task_2!$A11,Dataset!$A$2:$A$40,0),MATCH(Task_2!C$5,Dataset!$G$1:$W$1,0))</f>
        <v>35.200000000000003</v>
      </c>
      <c r="D11" s="10">
        <f>INDEX(Dataset!$G$2:$W$40,MATCH(Task_2!$A11,Dataset!$A$2:$A$40,0),MATCH(Task_2!D$5,Dataset!$G$1:$W$1,0))</f>
        <v>21.3</v>
      </c>
      <c r="E11" s="10">
        <f>INDEX(Dataset!$G$2:$W$40,MATCH(Task_2!$A11,Dataset!$A$2:$A$40,0),MATCH(Task_2!E$5,Dataset!$G$1:$W$1,0))</f>
        <v>43</v>
      </c>
      <c r="F11" s="10">
        <f>INDEX(Dataset!$G$2:$W$40,MATCH(Task_2!$A11,Dataset!$A$2:$A$40,0),MATCH(Task_2!F$5,Dataset!$G$1:$W$1,0))</f>
        <v>21.3</v>
      </c>
    </row>
    <row r="12" spans="1:8" ht="14.4" x14ac:dyDescent="0.3">
      <c r="A12" s="7" t="s">
        <v>14</v>
      </c>
      <c r="B12" s="10">
        <f>INDEX(Dataset!$G$2:$W$40,MATCH(Task_2!$A12,Dataset!$A$2:$A$40,0),MATCH(Task_2!B$5,Dataset!$G$1:$W$1,0))</f>
        <v>18.399999999999999</v>
      </c>
      <c r="C12" s="10">
        <f>INDEX(Dataset!$G$2:$W$40,MATCH(Task_2!$A12,Dataset!$A$2:$A$40,0),MATCH(Task_2!C$5,Dataset!$G$1:$W$1,0))</f>
        <v>55.6</v>
      </c>
      <c r="D12" s="10">
        <f>INDEX(Dataset!$G$2:$W$40,MATCH(Task_2!$A12,Dataset!$A$2:$A$40,0),MATCH(Task_2!D$5,Dataset!$G$1:$W$1,0))</f>
        <v>33.799999999999997</v>
      </c>
      <c r="E12" s="10">
        <f>INDEX(Dataset!$G$2:$W$40,MATCH(Task_2!$A12,Dataset!$A$2:$A$40,0),MATCH(Task_2!E$5,Dataset!$G$1:$W$1,0))</f>
        <v>67.900000000000006</v>
      </c>
      <c r="F12" s="10">
        <f>INDEX(Dataset!$G$2:$W$40,MATCH(Task_2!$A12,Dataset!$A$2:$A$40,0),MATCH(Task_2!F$5,Dataset!$G$1:$W$1,0))</f>
        <v>33.799999999999997</v>
      </c>
    </row>
    <row r="13" spans="1:8" ht="14.4" x14ac:dyDescent="0.3">
      <c r="A13" s="7" t="s">
        <v>15</v>
      </c>
      <c r="B13" s="10">
        <f>INDEX(Dataset!$G$2:$W$40,MATCH(Task_2!$A13,Dataset!$A$2:$A$40,0),MATCH(Task_2!B$5,Dataset!$G$1:$W$1,0))</f>
        <v>0</v>
      </c>
      <c r="C13" s="10">
        <f>INDEX(Dataset!$G$2:$W$40,MATCH(Task_2!$A13,Dataset!$A$2:$A$40,0),MATCH(Task_2!C$5,Dataset!$G$1:$W$1,0))</f>
        <v>0</v>
      </c>
      <c r="D13" s="10">
        <f>INDEX(Dataset!$G$2:$W$40,MATCH(Task_2!$A13,Dataset!$A$2:$A$40,0),MATCH(Task_2!D$5,Dataset!$G$1:$W$1,0))</f>
        <v>0</v>
      </c>
      <c r="E13" s="10">
        <f>INDEX(Dataset!$G$2:$W$40,MATCH(Task_2!$A13,Dataset!$A$2:$A$40,0),MATCH(Task_2!E$5,Dataset!$G$1:$W$1,0))</f>
        <v>0</v>
      </c>
      <c r="F13" s="10">
        <f>INDEX(Dataset!$G$2:$W$40,MATCH(Task_2!$A13,Dataset!$A$2:$A$40,0),MATCH(Task_2!F$5,Dataset!$G$1:$W$1,0))</f>
        <v>0</v>
      </c>
    </row>
    <row r="14" spans="1:8" ht="14.4" x14ac:dyDescent="0.3">
      <c r="A14" s="7" t="s">
        <v>16</v>
      </c>
      <c r="B14" s="10">
        <f>INDEX(Dataset!$G$2:$W$40,MATCH(Task_2!$A14,Dataset!$A$2:$A$40,0),MATCH(Task_2!B$5,Dataset!$G$1:$W$1,0))</f>
        <v>21.9</v>
      </c>
      <c r="C14" s="10">
        <f>INDEX(Dataset!$G$2:$W$40,MATCH(Task_2!$A14,Dataset!$A$2:$A$40,0),MATCH(Task_2!C$5,Dataset!$G$1:$W$1,0))</f>
        <v>61.5</v>
      </c>
      <c r="D14" s="10">
        <f>INDEX(Dataset!$G$2:$W$40,MATCH(Task_2!$A14,Dataset!$A$2:$A$40,0),MATCH(Task_2!D$5,Dataset!$G$1:$W$1,0))</f>
        <v>40.1</v>
      </c>
      <c r="E14" s="10">
        <f>INDEX(Dataset!$G$2:$W$40,MATCH(Task_2!$A14,Dataset!$A$2:$A$40,0),MATCH(Task_2!E$5,Dataset!$G$1:$W$1,0))</f>
        <v>76.599999999999994</v>
      </c>
      <c r="F14" s="10">
        <f>INDEX(Dataset!$G$2:$W$40,MATCH(Task_2!$A14,Dataset!$A$2:$A$40,0),MATCH(Task_2!F$5,Dataset!$G$1:$W$1,0))</f>
        <v>40.1</v>
      </c>
    </row>
    <row r="15" spans="1:8" ht="14.4" x14ac:dyDescent="0.3">
      <c r="A15" s="7" t="s">
        <v>18</v>
      </c>
      <c r="B15" s="10">
        <f>INDEX(Dataset!$G$2:$W$40,MATCH(Task_2!$A15,Dataset!$A$2:$A$40,0),MATCH(Task_2!B$5,Dataset!$G$1:$W$1,0))</f>
        <v>26.8</v>
      </c>
      <c r="C15" s="10">
        <f>INDEX(Dataset!$G$2:$W$40,MATCH(Task_2!$A15,Dataset!$A$2:$A$40,0),MATCH(Task_2!C$5,Dataset!$G$1:$W$1,0))</f>
        <v>79.599999999999994</v>
      </c>
      <c r="D15" s="10">
        <f>INDEX(Dataset!$G$2:$W$40,MATCH(Task_2!$A15,Dataset!$A$2:$A$40,0),MATCH(Task_2!D$5,Dataset!$G$1:$W$1,0))</f>
        <v>47.9</v>
      </c>
      <c r="E15" s="10">
        <f>INDEX(Dataset!$G$2:$W$40,MATCH(Task_2!$A15,Dataset!$A$2:$A$40,0),MATCH(Task_2!E$5,Dataset!$G$1:$W$1,0))</f>
        <v>96.8</v>
      </c>
      <c r="F15" s="10">
        <f>INDEX(Dataset!$G$2:$W$40,MATCH(Task_2!$A15,Dataset!$A$2:$A$40,0),MATCH(Task_2!F$5,Dataset!$G$1:$W$1,0))</f>
        <v>47.9</v>
      </c>
    </row>
    <row r="16" spans="1:8" ht="14.4" x14ac:dyDescent="0.3">
      <c r="A16" s="7" t="s">
        <v>20</v>
      </c>
      <c r="B16" s="10">
        <f>INDEX(Dataset!$G$2:$W$40,MATCH(Task_2!$A16,Dataset!$A$2:$A$40,0),MATCH(Task_2!B$5,Dataset!$G$1:$W$1,0))</f>
        <v>28.5</v>
      </c>
      <c r="C16" s="10">
        <f>INDEX(Dataset!$G$2:$W$40,MATCH(Task_2!$A16,Dataset!$A$2:$A$40,0),MATCH(Task_2!C$5,Dataset!$G$1:$W$1,0))</f>
        <v>85.4</v>
      </c>
      <c r="D16" s="10">
        <f>INDEX(Dataset!$G$2:$W$40,MATCH(Task_2!$A16,Dataset!$A$2:$A$40,0),MATCH(Task_2!D$5,Dataset!$G$1:$W$1,0))</f>
        <v>52.3</v>
      </c>
      <c r="E16" s="10">
        <f>INDEX(Dataset!$G$2:$W$40,MATCH(Task_2!$A16,Dataset!$A$2:$A$40,0),MATCH(Task_2!E$5,Dataset!$G$1:$W$1,0))</f>
        <v>106.1</v>
      </c>
      <c r="F16" s="10">
        <f>INDEX(Dataset!$G$2:$W$40,MATCH(Task_2!$A16,Dataset!$A$2:$A$40,0),MATCH(Task_2!F$5,Dataset!$G$1:$W$1,0))</f>
        <v>52.3</v>
      </c>
    </row>
    <row r="17" spans="1:8" ht="14.4" x14ac:dyDescent="0.3">
      <c r="A17" s="7" t="s">
        <v>22</v>
      </c>
      <c r="B17" s="10">
        <f>INDEX(Dataset!$G$2:$W$40,MATCH(Task_2!$A17,Dataset!$A$2:$A$40,0),MATCH(Task_2!B$5,Dataset!$G$1:$W$1,0))</f>
        <v>30.7</v>
      </c>
      <c r="C17" s="10">
        <f>INDEX(Dataset!$G$2:$W$40,MATCH(Task_2!$A17,Dataset!$A$2:$A$40,0),MATCH(Task_2!C$5,Dataset!$G$1:$W$1,0))</f>
        <v>92.1</v>
      </c>
      <c r="D17" s="10">
        <f>INDEX(Dataset!$G$2:$W$40,MATCH(Task_2!$A17,Dataset!$A$2:$A$40,0),MATCH(Task_2!D$5,Dataset!$G$1:$W$1,0))</f>
        <v>57</v>
      </c>
      <c r="E17" s="10">
        <f>INDEX(Dataset!$G$2:$W$40,MATCH(Task_2!$A17,Dataset!$A$2:$A$40,0),MATCH(Task_2!E$5,Dataset!$G$1:$W$1,0))</f>
        <v>115.1</v>
      </c>
      <c r="F17" s="10">
        <f>INDEX(Dataset!$G$2:$W$40,MATCH(Task_2!$A17,Dataset!$A$2:$A$40,0),MATCH(Task_2!F$5,Dataset!$G$1:$W$1,0))</f>
        <v>57</v>
      </c>
    </row>
    <row r="18" spans="1:8" ht="14.4" x14ac:dyDescent="0.3">
      <c r="A18" s="7" t="s">
        <v>23</v>
      </c>
      <c r="B18" s="10">
        <f>INDEX(Dataset!$G$2:$W$40,MATCH(Task_2!$A18,Dataset!$A$2:$A$40,0),MATCH(Task_2!B$5,Dataset!$G$1:$W$1,0))</f>
        <v>33.799999999999997</v>
      </c>
      <c r="C18" s="10">
        <f>INDEX(Dataset!$G$2:$W$40,MATCH(Task_2!$A18,Dataset!$A$2:$A$40,0),MATCH(Task_2!C$5,Dataset!$G$1:$W$1,0))</f>
        <v>101.3</v>
      </c>
      <c r="D18" s="10">
        <f>INDEX(Dataset!$G$2:$W$40,MATCH(Task_2!$A18,Dataset!$A$2:$A$40,0),MATCH(Task_2!D$5,Dataset!$G$1:$W$1,0))</f>
        <v>61.4</v>
      </c>
      <c r="E18" s="10">
        <f>INDEX(Dataset!$G$2:$W$40,MATCH(Task_2!$A18,Dataset!$A$2:$A$40,0),MATCH(Task_2!E$5,Dataset!$G$1:$W$1,0))</f>
        <v>124.4</v>
      </c>
      <c r="F18" s="10">
        <f>INDEX(Dataset!$G$2:$W$40,MATCH(Task_2!$A18,Dataset!$A$2:$A$40,0),MATCH(Task_2!F$5,Dataset!$G$1:$W$1,0))</f>
        <v>61.4</v>
      </c>
    </row>
    <row r="19" spans="1:8" ht="14.4" x14ac:dyDescent="0.3">
      <c r="A19" s="7" t="s">
        <v>24</v>
      </c>
      <c r="B19" s="10">
        <f>INDEX(Dataset!$G$2:$W$40,MATCH(Task_2!$A19,Dataset!$A$2:$A$40,0),MATCH(Task_2!B$5,Dataset!$G$1:$W$1,0))</f>
        <v>34.700000000000003</v>
      </c>
      <c r="C19" s="10">
        <f>INDEX(Dataset!$G$2:$W$40,MATCH(Task_2!$A19,Dataset!$A$2:$A$40,0),MATCH(Task_2!C$5,Dataset!$G$1:$W$1,0))</f>
        <v>106.1</v>
      </c>
      <c r="D19" s="10">
        <f>INDEX(Dataset!$G$2:$W$40,MATCH(Task_2!$A19,Dataset!$A$2:$A$40,0),MATCH(Task_2!D$5,Dataset!$G$1:$W$1,0))</f>
        <v>63.6</v>
      </c>
      <c r="E19" s="10">
        <f>INDEX(Dataset!$G$2:$W$40,MATCH(Task_2!$A19,Dataset!$A$2:$A$40,0),MATCH(Task_2!E$5,Dataset!$G$1:$W$1,0))</f>
        <v>128.6</v>
      </c>
      <c r="F19" s="10">
        <f>INDEX(Dataset!$G$2:$W$40,MATCH(Task_2!$A19,Dataset!$A$2:$A$40,0),MATCH(Task_2!F$5,Dataset!$G$1:$W$1,0))</f>
        <v>63.6</v>
      </c>
    </row>
    <row r="20" spans="1:8" ht="14.4" x14ac:dyDescent="0.3">
      <c r="A20" s="7" t="s">
        <v>28</v>
      </c>
      <c r="B20" s="10">
        <f>INDEX(Dataset!$G$2:$W$40,MATCH(Task_2!$A20,Dataset!$A$2:$A$40,0),MATCH(Task_2!B$5,Dataset!$G$1:$W$1,0))</f>
        <v>0</v>
      </c>
      <c r="C20" s="10">
        <f>INDEX(Dataset!$G$2:$W$40,MATCH(Task_2!$A20,Dataset!$A$2:$A$40,0),MATCH(Task_2!C$5,Dataset!$G$1:$W$1,0))</f>
        <v>0</v>
      </c>
      <c r="D20" s="10">
        <f>INDEX(Dataset!$G$2:$W$40,MATCH(Task_2!$A20,Dataset!$A$2:$A$40,0),MATCH(Task_2!D$5,Dataset!$G$1:$W$1,0))</f>
        <v>0</v>
      </c>
      <c r="E20" s="10">
        <f>INDEX(Dataset!$G$2:$W$40,MATCH(Task_2!$A20,Dataset!$A$2:$A$40,0),MATCH(Task_2!E$5,Dataset!$G$1:$W$1,0))</f>
        <v>0</v>
      </c>
      <c r="F20" s="10">
        <f>INDEX(Dataset!$G$2:$W$40,MATCH(Task_2!$A20,Dataset!$A$2:$A$40,0),MATCH(Task_2!F$5,Dataset!$G$1:$W$1,0))</f>
        <v>0</v>
      </c>
    </row>
    <row r="21" spans="1:8" ht="14.4" x14ac:dyDescent="0.3">
      <c r="A21" s="7" t="s">
        <v>57</v>
      </c>
      <c r="B21" s="10">
        <f>INDEX(Dataset!$G$2:$W$40,MATCH(Task_2!$A21,Dataset!$A$2:$A$40,0),MATCH(Task_2!B$5,Dataset!$G$1:$W$1,0))</f>
        <v>41.3</v>
      </c>
      <c r="C21" s="10">
        <f>INDEX(Dataset!$G$2:$W$40,MATCH(Task_2!$A21,Dataset!$A$2:$A$40,0),MATCH(Task_2!C$5,Dataset!$G$1:$W$1,0))</f>
        <v>124.4</v>
      </c>
      <c r="D21" s="10">
        <f>INDEX(Dataset!$G$2:$W$40,MATCH(Task_2!$A21,Dataset!$A$2:$A$40,0),MATCH(Task_2!D$5,Dataset!$G$1:$W$1,0))</f>
        <v>75</v>
      </c>
      <c r="E21" s="10">
        <f>INDEX(Dataset!$G$2:$W$40,MATCH(Task_2!$A21,Dataset!$A$2:$A$40,0),MATCH(Task_2!E$5,Dataset!$G$1:$W$1,0))</f>
        <v>151.5</v>
      </c>
      <c r="F21" s="10">
        <f>INDEX(Dataset!$G$2:$W$40,MATCH(Task_2!$A21,Dataset!$A$2:$A$40,0),MATCH(Task_2!F$5,Dataset!$G$1:$W$1,0))</f>
        <v>75</v>
      </c>
    </row>
    <row r="22" spans="1:8" ht="14.4" x14ac:dyDescent="0.3">
      <c r="A22" s="7" t="s">
        <v>58</v>
      </c>
      <c r="B22" s="10">
        <f>INDEX(Dataset!$G$2:$W$40,MATCH(Task_2!$A22,Dataset!$A$2:$A$40,0),MATCH(Task_2!B$5,Dataset!$G$1:$W$1,0))</f>
        <v>-1</v>
      </c>
      <c r="C22" s="10">
        <f>INDEX(Dataset!$G$2:$W$40,MATCH(Task_2!$A22,Dataset!$A$2:$A$40,0),MATCH(Task_2!C$5,Dataset!$G$1:$W$1,0))</f>
        <v>-1</v>
      </c>
      <c r="D22" s="10">
        <f>INDEX(Dataset!$G$2:$W$40,MATCH(Task_2!$A22,Dataset!$A$2:$A$40,0),MATCH(Task_2!D$5,Dataset!$G$1:$W$1,0))</f>
        <v>-1</v>
      </c>
      <c r="E22" s="10">
        <f>INDEX(Dataset!$G$2:$W$40,MATCH(Task_2!$A22,Dataset!$A$2:$A$40,0),MATCH(Task_2!E$5,Dataset!$G$1:$W$1,0))</f>
        <v>-1</v>
      </c>
      <c r="F22" s="10">
        <f>INDEX(Dataset!$G$2:$W$40,MATCH(Task_2!$A22,Dataset!$A$2:$A$40,0),MATCH(Task_2!F$5,Dataset!$G$1:$W$1,0))</f>
        <v>-1</v>
      </c>
    </row>
    <row r="23" spans="1:8" ht="14.4" x14ac:dyDescent="0.3">
      <c r="A23" s="7" t="s">
        <v>31</v>
      </c>
      <c r="B23" s="10">
        <f>INDEX(Dataset!$G$2:$W$40,MATCH(Task_2!$A23,Dataset!$A$2:$A$40,0),MATCH(Task_2!B$5,Dataset!$G$1:$W$1,0))</f>
        <v>45</v>
      </c>
      <c r="C23" s="10">
        <f>INDEX(Dataset!$G$2:$W$40,MATCH(Task_2!$A23,Dataset!$A$2:$A$40,0),MATCH(Task_2!C$5,Dataset!$G$1:$W$1,0))</f>
        <v>133.4</v>
      </c>
      <c r="D23" s="10">
        <f>INDEX(Dataset!$G$2:$W$40,MATCH(Task_2!$A23,Dataset!$A$2:$A$40,0),MATCH(Task_2!D$5,Dataset!$G$1:$W$1,0))</f>
        <v>79.400000000000006</v>
      </c>
      <c r="E23" s="10">
        <f>INDEX(Dataset!$G$2:$W$40,MATCH(Task_2!$A23,Dataset!$A$2:$A$40,0),MATCH(Task_2!E$5,Dataset!$G$1:$W$1,0))</f>
        <v>160.9</v>
      </c>
      <c r="F23" s="10">
        <f>INDEX(Dataset!$G$2:$W$40,MATCH(Task_2!$A23,Dataset!$A$2:$A$40,0),MATCH(Task_2!F$5,Dataset!$G$1:$W$1,0))</f>
        <v>79.400000000000006</v>
      </c>
    </row>
    <row r="24" spans="1:8" ht="14.4" x14ac:dyDescent="0.3">
      <c r="A24" s="7" t="s">
        <v>32</v>
      </c>
      <c r="B24" s="10">
        <f>INDEX(Dataset!$G$2:$W$40,MATCH(Task_2!$A24,Dataset!$A$2:$A$40,0),MATCH(Task_2!B$5,Dataset!$G$1:$W$1,0))</f>
        <v>-1</v>
      </c>
      <c r="C24" s="10">
        <f>INDEX(Dataset!$G$2:$W$40,MATCH(Task_2!$A24,Dataset!$A$2:$A$40,0),MATCH(Task_2!C$5,Dataset!$G$1:$W$1,0))</f>
        <v>-1</v>
      </c>
      <c r="D24" s="10">
        <f>INDEX(Dataset!$G$2:$W$40,MATCH(Task_2!$A24,Dataset!$A$2:$A$40,0),MATCH(Task_2!D$5,Dataset!$G$1:$W$1,0))</f>
        <v>-1</v>
      </c>
      <c r="E24" s="10">
        <f>INDEX(Dataset!$G$2:$W$40,MATCH(Task_2!$A24,Dataset!$A$2:$A$40,0),MATCH(Task_2!E$5,Dataset!$G$1:$W$1,0))</f>
        <v>-1</v>
      </c>
      <c r="F24" s="10">
        <f>INDEX(Dataset!$G$2:$W$40,MATCH(Task_2!$A24,Dataset!$A$2:$A$40,0),MATCH(Task_2!F$5,Dataset!$G$1:$W$1,0))</f>
        <v>-1</v>
      </c>
    </row>
    <row r="25" spans="1:8" ht="14.4" x14ac:dyDescent="0.3">
      <c r="A25" s="7" t="s">
        <v>34</v>
      </c>
      <c r="B25" s="10">
        <f>INDEX(Dataset!$G$2:$W$40,MATCH(Task_2!$A25,Dataset!$A$2:$A$40,0),MATCH(Task_2!B$5,Dataset!$G$1:$W$1,0))</f>
        <v>43.3</v>
      </c>
      <c r="C25" s="10">
        <f>INDEX(Dataset!$G$2:$W$40,MATCH(Task_2!$A25,Dataset!$A$2:$A$40,0),MATCH(Task_2!C$5,Dataset!$G$1:$W$1,0))</f>
        <v>128.6</v>
      </c>
      <c r="D25" s="10">
        <f>INDEX(Dataset!$G$2:$W$40,MATCH(Task_2!$A25,Dataset!$A$2:$A$40,0),MATCH(Task_2!D$5,Dataset!$G$1:$W$1,0))</f>
        <v>79.400000000000006</v>
      </c>
      <c r="E25" s="10">
        <f>INDEX(Dataset!$G$2:$W$40,MATCH(Task_2!$A25,Dataset!$A$2:$A$40,0),MATCH(Task_2!E$5,Dataset!$G$1:$W$1,0))</f>
        <v>160.9</v>
      </c>
      <c r="F25" s="10">
        <f>INDEX(Dataset!$G$2:$W$40,MATCH(Task_2!$A25,Dataset!$A$2:$A$40,0),MATCH(Task_2!F$5,Dataset!$G$1:$W$1,0))</f>
        <v>79.400000000000006</v>
      </c>
    </row>
    <row r="26" spans="1:8" ht="14.4" x14ac:dyDescent="0.3">
      <c r="A26" s="7" t="s">
        <v>37</v>
      </c>
      <c r="B26" s="10">
        <f>INDEX(Dataset!$G$2:$W$40,MATCH(Task_2!$A26,Dataset!$A$2:$A$40,0),MATCH(Task_2!B$5,Dataset!$G$1:$W$1,0))</f>
        <v>49.1</v>
      </c>
      <c r="C26" s="10">
        <f>INDEX(Dataset!$G$2:$W$40,MATCH(Task_2!$A26,Dataset!$A$2:$A$40,0),MATCH(Task_2!C$5,Dataset!$G$1:$W$1,0))</f>
        <v>146.80000000000001</v>
      </c>
      <c r="D26" s="10">
        <f>INDEX(Dataset!$G$2:$W$40,MATCH(Task_2!$A26,Dataset!$A$2:$A$40,0),MATCH(Task_2!D$5,Dataset!$G$1:$W$1,0))</f>
        <v>90.9</v>
      </c>
      <c r="E26" s="10">
        <f>INDEX(Dataset!$G$2:$W$40,MATCH(Task_2!$A26,Dataset!$A$2:$A$40,0),MATCH(Task_2!E$5,Dataset!$G$1:$W$1,0))</f>
        <v>183.5</v>
      </c>
      <c r="F26" s="10">
        <f>INDEX(Dataset!$G$2:$W$40,MATCH(Task_2!$A26,Dataset!$A$2:$A$40,0),MATCH(Task_2!F$5,Dataset!$G$1:$W$1,0))</f>
        <v>90.9</v>
      </c>
    </row>
    <row r="27" spans="1:8" ht="14.4" x14ac:dyDescent="0.3">
      <c r="A27" s="7" t="s">
        <v>39</v>
      </c>
      <c r="B27" s="10">
        <f>INDEX(Dataset!$G$2:$W$40,MATCH(Task_2!$A27,Dataset!$A$2:$A$40,0),MATCH(Task_2!B$5,Dataset!$G$1:$W$1,0))</f>
        <v>51.8</v>
      </c>
      <c r="C27" s="10">
        <f>INDEX(Dataset!$G$2:$W$40,MATCH(Task_2!$A27,Dataset!$A$2:$A$40,0),MATCH(Task_2!C$5,Dataset!$G$1:$W$1,0))</f>
        <v>156.4</v>
      </c>
      <c r="D27" s="10">
        <f>INDEX(Dataset!$G$2:$W$40,MATCH(Task_2!$A27,Dataset!$A$2:$A$40,0),MATCH(Task_2!D$5,Dataset!$G$1:$W$1,0))</f>
        <v>93.1</v>
      </c>
      <c r="E27" s="10">
        <f>INDEX(Dataset!$G$2:$W$40,MATCH(Task_2!$A27,Dataset!$A$2:$A$40,0),MATCH(Task_2!E$5,Dataset!$G$1:$W$1,0))</f>
        <v>188.1</v>
      </c>
      <c r="F27" s="10">
        <f>INDEX(Dataset!$G$2:$W$40,MATCH(Task_2!$A27,Dataset!$A$2:$A$40,0),MATCH(Task_2!F$5,Dataset!$G$1:$W$1,0))</f>
        <v>93.1</v>
      </c>
    </row>
    <row r="28" spans="1:8" ht="14.4" x14ac:dyDescent="0.3">
      <c r="A28" s="17" t="s">
        <v>82</v>
      </c>
      <c r="B28" s="29">
        <f>MIN(B$6:B$27)</f>
        <v>-1</v>
      </c>
      <c r="C28" s="29">
        <f t="shared" ref="C28:F28" si="0">MIN(C$6:C$27)</f>
        <v>-1</v>
      </c>
      <c r="D28" s="29">
        <f t="shared" si="0"/>
        <v>-1</v>
      </c>
      <c r="E28" s="29">
        <f t="shared" si="0"/>
        <v>-1</v>
      </c>
      <c r="F28" s="29">
        <f t="shared" si="0"/>
        <v>-1</v>
      </c>
      <c r="H28" s="45" t="s">
        <v>185</v>
      </c>
    </row>
    <row r="29" spans="1:8" ht="14.4" x14ac:dyDescent="0.3">
      <c r="A29" s="17" t="s">
        <v>83</v>
      </c>
      <c r="B29" s="29">
        <f>MAX(B$6:B$27)</f>
        <v>51.8</v>
      </c>
      <c r="C29" s="29">
        <f t="shared" ref="C29:F29" si="1">MAX(C$6:C$27)</f>
        <v>156.4</v>
      </c>
      <c r="D29" s="29">
        <f t="shared" si="1"/>
        <v>93.1</v>
      </c>
      <c r="E29" s="29">
        <f t="shared" si="1"/>
        <v>188.1</v>
      </c>
      <c r="F29" s="29">
        <f t="shared" si="1"/>
        <v>93.1</v>
      </c>
      <c r="H29" s="2" t="s">
        <v>184</v>
      </c>
    </row>
    <row r="30" spans="1:8" ht="14.4" x14ac:dyDescent="0.3">
      <c r="A30" s="17" t="s">
        <v>84</v>
      </c>
      <c r="B30" s="29">
        <f>AVERAGE(B$6:B$27)</f>
        <v>20.827272727272728</v>
      </c>
      <c r="C30" s="29">
        <f t="shared" ref="C30:F30" si="2">AVERAGE(C$6:C$27)</f>
        <v>62.377272727272725</v>
      </c>
      <c r="D30" s="29">
        <f t="shared" si="2"/>
        <v>37.800000000000004</v>
      </c>
      <c r="E30" s="29">
        <f t="shared" si="2"/>
        <v>76.418181818181822</v>
      </c>
      <c r="F30" s="29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7" zoomScale="85" zoomScaleNormal="85" workbookViewId="0">
      <selection activeCell="F16" sqref="F16"/>
    </sheetView>
  </sheetViews>
  <sheetFormatPr defaultColWidth="11" defaultRowHeight="14.4" x14ac:dyDescent="0.3"/>
  <cols>
    <col min="1" max="1" width="39.77734375" style="1" bestFit="1" customWidth="1"/>
    <col min="2" max="7" width="11" style="1"/>
    <col min="8" max="8" width="26.77734375" style="1" customWidth="1"/>
    <col min="9" max="16384" width="11" style="1"/>
  </cols>
  <sheetData>
    <row r="1" spans="1:10" s="38" customFormat="1" ht="21" x14ac:dyDescent="0.4">
      <c r="A1" s="39" t="s">
        <v>56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150</v>
      </c>
    </row>
    <row r="5" spans="1:10" ht="18" x14ac:dyDescent="0.35">
      <c r="A5" s="40" t="s">
        <v>53</v>
      </c>
      <c r="B5" s="37" t="s">
        <v>195</v>
      </c>
    </row>
    <row r="6" spans="1:10" ht="18" x14ac:dyDescent="0.35">
      <c r="A6" s="40" t="s">
        <v>152</v>
      </c>
      <c r="B6" s="1" t="s">
        <v>186</v>
      </c>
    </row>
    <row r="7" spans="1:10" ht="18" x14ac:dyDescent="0.35">
      <c r="A7" s="40"/>
      <c r="B7" s="37"/>
    </row>
    <row r="9" spans="1:10" ht="23.4" x14ac:dyDescent="0.45">
      <c r="A9" s="16" t="s">
        <v>164</v>
      </c>
      <c r="I9" s="2"/>
      <c r="J9" s="2"/>
    </row>
    <row r="10" spans="1:10" x14ac:dyDescent="0.3">
      <c r="A10" s="31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120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161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120</v>
      </c>
      <c r="B16" s="10" t="str">
        <f>LEFT(A16,5)</f>
        <v>20000</v>
      </c>
      <c r="C16" s="1" t="str">
        <f>MID(A16,FIND("-",A16)+1,6)</f>
        <v>Monday</v>
      </c>
      <c r="D16" s="1" t="str">
        <f>MID(A16,FIND("-",A16,8)+1,1)</f>
        <v>0</v>
      </c>
      <c r="E16" s="10" t="str">
        <f>MID(A16,FIND("-",A16,14)+1,6)</f>
        <v>Sunday</v>
      </c>
      <c r="F16" s="10" t="str">
        <f>RIGHT(A16,2)</f>
        <v>24</v>
      </c>
    </row>
    <row r="17" spans="1:6" x14ac:dyDescent="0.3">
      <c r="A17" s="7" t="s">
        <v>121</v>
      </c>
      <c r="B17" s="10" t="str">
        <f t="shared" ref="B17:B54" si="0">LEFT(A17,5)</f>
        <v>20002</v>
      </c>
      <c r="C17" s="1" t="str">
        <f t="shared" ref="C17:C54" si="1">MID(A17,FIND("-",A17)+1,6)</f>
        <v>Monday</v>
      </c>
      <c r="D17" s="1" t="str">
        <f t="shared" ref="D17:D54" si="2">MID(A17,FIND("-",A17,8)+1,1)</f>
        <v>0</v>
      </c>
      <c r="E17" s="10" t="str">
        <f t="shared" ref="E17:E54" si="3">MID(A17,FIND("-",A17,14)+1,6)</f>
        <v>Sunday</v>
      </c>
      <c r="F17" s="10" t="str">
        <f t="shared" ref="F17:F54" si="4">RIGHT(A17,2)</f>
        <v>24</v>
      </c>
    </row>
    <row r="18" spans="1:6" x14ac:dyDescent="0.3">
      <c r="A18" s="7" t="s">
        <v>122</v>
      </c>
      <c r="B18" s="10" t="str">
        <f t="shared" si="0"/>
        <v>20004</v>
      </c>
      <c r="C18" s="1" t="str">
        <f t="shared" si="1"/>
        <v>Monday</v>
      </c>
      <c r="D18" s="1" t="str">
        <f t="shared" si="2"/>
        <v>0</v>
      </c>
      <c r="E18" s="10" t="str">
        <f t="shared" si="3"/>
        <v>Sunday</v>
      </c>
      <c r="F18" s="10" t="str">
        <f t="shared" si="4"/>
        <v>24</v>
      </c>
    </row>
    <row r="19" spans="1:6" x14ac:dyDescent="0.3">
      <c r="A19" s="7" t="s">
        <v>123</v>
      </c>
      <c r="B19" s="10" t="str">
        <f t="shared" si="0"/>
        <v>20006</v>
      </c>
      <c r="C19" s="1" t="str">
        <f t="shared" si="1"/>
        <v>Monday</v>
      </c>
      <c r="D19" s="1" t="str">
        <f t="shared" si="2"/>
        <v>0</v>
      </c>
      <c r="E19" s="10" t="str">
        <f t="shared" si="3"/>
        <v>Sunday</v>
      </c>
      <c r="F19" s="10" t="str">
        <f t="shared" si="4"/>
        <v>24</v>
      </c>
    </row>
    <row r="20" spans="1:6" x14ac:dyDescent="0.3">
      <c r="A20" s="7" t="s">
        <v>124</v>
      </c>
      <c r="B20" s="10" t="str">
        <f t="shared" si="0"/>
        <v>20008</v>
      </c>
      <c r="C20" s="1" t="str">
        <f t="shared" si="1"/>
        <v>Monday</v>
      </c>
      <c r="D20" s="1" t="str">
        <f t="shared" si="2"/>
        <v>0</v>
      </c>
      <c r="E20" s="10" t="str">
        <f t="shared" si="3"/>
        <v>Sunday</v>
      </c>
      <c r="F20" s="10" t="str">
        <f t="shared" si="4"/>
        <v>24</v>
      </c>
    </row>
    <row r="21" spans="1:6" x14ac:dyDescent="0.3">
      <c r="A21" s="7" t="s">
        <v>125</v>
      </c>
      <c r="B21" s="10" t="str">
        <f t="shared" si="0"/>
        <v>20010</v>
      </c>
      <c r="C21" s="1" t="str">
        <f t="shared" si="1"/>
        <v>Monday</v>
      </c>
      <c r="D21" s="1" t="str">
        <f t="shared" si="2"/>
        <v>0</v>
      </c>
      <c r="E21" s="10" t="str">
        <f t="shared" si="3"/>
        <v>Sunday</v>
      </c>
      <c r="F21" s="10" t="str">
        <f t="shared" si="4"/>
        <v>24</v>
      </c>
    </row>
    <row r="22" spans="1:6" x14ac:dyDescent="0.3">
      <c r="A22" s="7" t="s">
        <v>126</v>
      </c>
      <c r="B22" s="10" t="str">
        <f t="shared" si="0"/>
        <v>20012</v>
      </c>
      <c r="C22" s="1" t="str">
        <f t="shared" si="1"/>
        <v>Monday</v>
      </c>
      <c r="D22" s="1" t="str">
        <f t="shared" si="2"/>
        <v>0</v>
      </c>
      <c r="E22" s="10" t="str">
        <f t="shared" si="3"/>
        <v>Sunday</v>
      </c>
      <c r="F22" s="10" t="str">
        <f t="shared" si="4"/>
        <v>24</v>
      </c>
    </row>
    <row r="23" spans="1:6" x14ac:dyDescent="0.3">
      <c r="A23" s="7" t="s">
        <v>127</v>
      </c>
      <c r="B23" s="10" t="str">
        <f t="shared" si="0"/>
        <v>20014</v>
      </c>
      <c r="C23" s="1" t="str">
        <f t="shared" si="1"/>
        <v>Monday</v>
      </c>
      <c r="D23" s="1" t="str">
        <f t="shared" si="2"/>
        <v>0</v>
      </c>
      <c r="E23" s="10" t="str">
        <f t="shared" si="3"/>
        <v>Sunday</v>
      </c>
      <c r="F23" s="10" t="str">
        <f t="shared" si="4"/>
        <v>24</v>
      </c>
    </row>
    <row r="24" spans="1:6" x14ac:dyDescent="0.3">
      <c r="A24" s="7" t="s">
        <v>128</v>
      </c>
      <c r="B24" s="10" t="str">
        <f t="shared" si="0"/>
        <v>20016</v>
      </c>
      <c r="C24" s="1" t="str">
        <f t="shared" si="1"/>
        <v>Monday</v>
      </c>
      <c r="D24" s="1" t="str">
        <f t="shared" si="2"/>
        <v>0</v>
      </c>
      <c r="E24" s="10" t="str">
        <f t="shared" si="3"/>
        <v>Sunday</v>
      </c>
      <c r="F24" s="10" t="str">
        <f t="shared" si="4"/>
        <v>24</v>
      </c>
    </row>
    <row r="25" spans="1:6" x14ac:dyDescent="0.3">
      <c r="A25" s="7" t="s">
        <v>129</v>
      </c>
      <c r="B25" s="10" t="str">
        <f t="shared" si="0"/>
        <v>20018</v>
      </c>
      <c r="C25" s="1" t="str">
        <f t="shared" si="1"/>
        <v>Monday</v>
      </c>
      <c r="D25" s="1" t="str">
        <f t="shared" si="2"/>
        <v>0</v>
      </c>
      <c r="E25" s="10" t="str">
        <f t="shared" si="3"/>
        <v>Sunday</v>
      </c>
      <c r="F25" s="10" t="str">
        <f t="shared" si="4"/>
        <v>24</v>
      </c>
    </row>
    <row r="26" spans="1:6" x14ac:dyDescent="0.3">
      <c r="A26" s="7" t="s">
        <v>130</v>
      </c>
      <c r="B26" s="10" t="str">
        <f t="shared" si="0"/>
        <v>20020</v>
      </c>
      <c r="C26" s="1" t="str">
        <f t="shared" si="1"/>
        <v>Monday</v>
      </c>
      <c r="D26" s="1" t="str">
        <f t="shared" si="2"/>
        <v>0</v>
      </c>
      <c r="E26" s="10" t="str">
        <f t="shared" si="3"/>
        <v>Sunday</v>
      </c>
      <c r="F26" s="10" t="str">
        <f t="shared" si="4"/>
        <v>24</v>
      </c>
    </row>
    <row r="27" spans="1:6" x14ac:dyDescent="0.3">
      <c r="A27" s="7" t="s">
        <v>131</v>
      </c>
      <c r="B27" s="10" t="str">
        <f t="shared" si="0"/>
        <v>20022</v>
      </c>
      <c r="C27" s="1" t="str">
        <f t="shared" si="1"/>
        <v>Monday</v>
      </c>
      <c r="D27" s="1" t="str">
        <f t="shared" si="2"/>
        <v>0</v>
      </c>
      <c r="E27" s="10" t="str">
        <f t="shared" si="3"/>
        <v>Sunday</v>
      </c>
      <c r="F27" s="10" t="str">
        <f t="shared" si="4"/>
        <v>24</v>
      </c>
    </row>
    <row r="28" spans="1:6" x14ac:dyDescent="0.3">
      <c r="A28" s="7" t="s">
        <v>132</v>
      </c>
      <c r="B28" s="10" t="str">
        <f t="shared" si="0"/>
        <v>20024</v>
      </c>
      <c r="C28" s="1" t="str">
        <f t="shared" si="1"/>
        <v>Monday</v>
      </c>
      <c r="D28" s="1" t="str">
        <f t="shared" si="2"/>
        <v>0</v>
      </c>
      <c r="E28" s="10" t="str">
        <f t="shared" si="3"/>
        <v>Sunday</v>
      </c>
      <c r="F28" s="10" t="str">
        <f t="shared" si="4"/>
        <v>24</v>
      </c>
    </row>
    <row r="29" spans="1:6" x14ac:dyDescent="0.3">
      <c r="A29" s="7" t="s">
        <v>133</v>
      </c>
      <c r="B29" s="10" t="str">
        <f t="shared" si="0"/>
        <v>20026</v>
      </c>
      <c r="C29" s="1" t="str">
        <f t="shared" si="1"/>
        <v>Monday</v>
      </c>
      <c r="D29" s="1" t="str">
        <f t="shared" si="2"/>
        <v>0</v>
      </c>
      <c r="E29" s="10" t="str">
        <f t="shared" si="3"/>
        <v>Sunday</v>
      </c>
      <c r="F29" s="10" t="str">
        <f t="shared" si="4"/>
        <v>24</v>
      </c>
    </row>
    <row r="30" spans="1:6" x14ac:dyDescent="0.3">
      <c r="A30" s="7" t="s">
        <v>134</v>
      </c>
      <c r="B30" s="10" t="str">
        <f t="shared" si="0"/>
        <v>20028</v>
      </c>
      <c r="C30" s="1" t="str">
        <f t="shared" si="1"/>
        <v>Monday</v>
      </c>
      <c r="D30" s="1" t="str">
        <f t="shared" si="2"/>
        <v>0</v>
      </c>
      <c r="E30" s="10" t="str">
        <f t="shared" si="3"/>
        <v>Sunday</v>
      </c>
      <c r="F30" s="10" t="str">
        <f t="shared" si="4"/>
        <v>24</v>
      </c>
    </row>
    <row r="31" spans="1:6" x14ac:dyDescent="0.3">
      <c r="A31" s="7" t="s">
        <v>135</v>
      </c>
      <c r="B31" s="10" t="str">
        <f t="shared" si="0"/>
        <v>20030</v>
      </c>
      <c r="C31" s="1" t="str">
        <f t="shared" si="1"/>
        <v>Monday</v>
      </c>
      <c r="D31" s="1" t="str">
        <f t="shared" si="2"/>
        <v>0</v>
      </c>
      <c r="E31" s="10" t="str">
        <f t="shared" si="3"/>
        <v>Sunday</v>
      </c>
      <c r="F31" s="10" t="str">
        <f t="shared" si="4"/>
        <v>24</v>
      </c>
    </row>
    <row r="32" spans="1:6" x14ac:dyDescent="0.3">
      <c r="A32" s="7" t="s">
        <v>136</v>
      </c>
      <c r="B32" s="10" t="str">
        <f t="shared" si="0"/>
        <v>20032</v>
      </c>
      <c r="C32" s="1" t="str">
        <f t="shared" si="1"/>
        <v>Monday</v>
      </c>
      <c r="D32" s="1" t="str">
        <f t="shared" si="2"/>
        <v>0</v>
      </c>
      <c r="E32" s="10" t="str">
        <f t="shared" si="3"/>
        <v>Sunday</v>
      </c>
      <c r="F32" s="10" t="str">
        <f t="shared" si="4"/>
        <v>24</v>
      </c>
    </row>
    <row r="33" spans="1:6" x14ac:dyDescent="0.3">
      <c r="A33" s="7" t="s">
        <v>137</v>
      </c>
      <c r="B33" s="10" t="str">
        <f t="shared" si="0"/>
        <v>20034</v>
      </c>
      <c r="C33" s="1" t="str">
        <f t="shared" si="1"/>
        <v>Monday</v>
      </c>
      <c r="D33" s="1" t="str">
        <f t="shared" si="2"/>
        <v>0</v>
      </c>
      <c r="E33" s="10" t="str">
        <f t="shared" si="3"/>
        <v>Sunday</v>
      </c>
      <c r="F33" s="10" t="str">
        <f t="shared" si="4"/>
        <v>24</v>
      </c>
    </row>
    <row r="34" spans="1:6" x14ac:dyDescent="0.3">
      <c r="A34" s="7" t="s">
        <v>138</v>
      </c>
      <c r="B34" s="10" t="str">
        <f t="shared" si="0"/>
        <v>20036</v>
      </c>
      <c r="C34" s="1" t="str">
        <f t="shared" si="1"/>
        <v>Monday</v>
      </c>
      <c r="D34" s="1" t="str">
        <f t="shared" si="2"/>
        <v>0</v>
      </c>
      <c r="E34" s="10" t="str">
        <f t="shared" si="3"/>
        <v>Sunday</v>
      </c>
      <c r="F34" s="10" t="str">
        <f t="shared" si="4"/>
        <v>24</v>
      </c>
    </row>
    <row r="35" spans="1:6" x14ac:dyDescent="0.3">
      <c r="A35" s="7" t="s">
        <v>139</v>
      </c>
      <c r="B35" s="10" t="str">
        <f t="shared" si="0"/>
        <v>20038</v>
      </c>
      <c r="C35" s="1" t="str">
        <f t="shared" si="1"/>
        <v>Monday</v>
      </c>
      <c r="D35" s="1" t="str">
        <f t="shared" si="2"/>
        <v>0</v>
      </c>
      <c r="E35" s="10" t="str">
        <f t="shared" si="3"/>
        <v>Sunday</v>
      </c>
      <c r="F35" s="10" t="str">
        <f t="shared" si="4"/>
        <v>24</v>
      </c>
    </row>
    <row r="36" spans="1:6" x14ac:dyDescent="0.3">
      <c r="A36" s="7" t="s">
        <v>140</v>
      </c>
      <c r="B36" s="10" t="str">
        <f t="shared" si="0"/>
        <v>20040</v>
      </c>
      <c r="C36" s="1" t="str">
        <f t="shared" si="1"/>
        <v>Monday</v>
      </c>
      <c r="D36" s="1" t="str">
        <f t="shared" si="2"/>
        <v>0</v>
      </c>
      <c r="E36" s="10" t="str">
        <f t="shared" si="3"/>
        <v>Sunday</v>
      </c>
      <c r="F36" s="10" t="str">
        <f t="shared" si="4"/>
        <v>24</v>
      </c>
    </row>
    <row r="37" spans="1:6" x14ac:dyDescent="0.3">
      <c r="A37" s="7" t="s">
        <v>141</v>
      </c>
      <c r="B37" s="10" t="str">
        <f t="shared" si="0"/>
        <v>20042</v>
      </c>
      <c r="C37" s="1" t="str">
        <f t="shared" si="1"/>
        <v>Monday</v>
      </c>
      <c r="D37" s="1" t="str">
        <f t="shared" si="2"/>
        <v>0</v>
      </c>
      <c r="E37" s="10" t="str">
        <f t="shared" si="3"/>
        <v>Sunday</v>
      </c>
      <c r="F37" s="10" t="str">
        <f t="shared" si="4"/>
        <v>24</v>
      </c>
    </row>
    <row r="38" spans="1:6" x14ac:dyDescent="0.3">
      <c r="A38" s="7" t="s">
        <v>142</v>
      </c>
      <c r="B38" s="10" t="str">
        <f t="shared" si="0"/>
        <v>20044</v>
      </c>
      <c r="C38" s="1" t="str">
        <f t="shared" si="1"/>
        <v>Monday</v>
      </c>
      <c r="D38" s="1" t="str">
        <f t="shared" si="2"/>
        <v>0</v>
      </c>
      <c r="E38" s="10" t="str">
        <f t="shared" si="3"/>
        <v>Sunday</v>
      </c>
      <c r="F38" s="10" t="str">
        <f t="shared" si="4"/>
        <v>24</v>
      </c>
    </row>
    <row r="39" spans="1:6" x14ac:dyDescent="0.3">
      <c r="A39" s="7" t="s">
        <v>143</v>
      </c>
      <c r="B39" s="10" t="str">
        <f t="shared" si="0"/>
        <v>20046</v>
      </c>
      <c r="C39" s="1" t="str">
        <f t="shared" si="1"/>
        <v>Monday</v>
      </c>
      <c r="D39" s="1" t="str">
        <f t="shared" si="2"/>
        <v>0</v>
      </c>
      <c r="E39" s="10" t="str">
        <f t="shared" si="3"/>
        <v>Sunday</v>
      </c>
      <c r="F39" s="10" t="str">
        <f t="shared" si="4"/>
        <v>24</v>
      </c>
    </row>
    <row r="40" spans="1:6" x14ac:dyDescent="0.3">
      <c r="A40" s="7" t="s">
        <v>144</v>
      </c>
      <c r="B40" s="10" t="str">
        <f t="shared" si="0"/>
        <v>20048</v>
      </c>
      <c r="C40" s="1" t="str">
        <f t="shared" si="1"/>
        <v>Monday</v>
      </c>
      <c r="D40" s="1" t="str">
        <f t="shared" si="2"/>
        <v>0</v>
      </c>
      <c r="E40" s="10" t="str">
        <f t="shared" si="3"/>
        <v>Sunday</v>
      </c>
      <c r="F40" s="10" t="str">
        <f t="shared" si="4"/>
        <v>24</v>
      </c>
    </row>
    <row r="41" spans="1:6" x14ac:dyDescent="0.3">
      <c r="A41" s="7" t="s">
        <v>145</v>
      </c>
      <c r="B41" s="10" t="str">
        <f t="shared" si="0"/>
        <v>20050</v>
      </c>
      <c r="C41" s="1" t="str">
        <f t="shared" si="1"/>
        <v>Monday</v>
      </c>
      <c r="D41" s="1" t="str">
        <f t="shared" si="2"/>
        <v>0</v>
      </c>
      <c r="E41" s="10" t="str">
        <f t="shared" si="3"/>
        <v>Sunday</v>
      </c>
      <c r="F41" s="10" t="str">
        <f t="shared" si="4"/>
        <v>24</v>
      </c>
    </row>
    <row r="42" spans="1:6" x14ac:dyDescent="0.3">
      <c r="A42" s="7" t="s">
        <v>146</v>
      </c>
      <c r="B42" s="10" t="str">
        <f t="shared" si="0"/>
        <v>20052</v>
      </c>
      <c r="C42" s="1" t="str">
        <f t="shared" si="1"/>
        <v>Monday</v>
      </c>
      <c r="D42" s="1" t="str">
        <f t="shared" si="2"/>
        <v>0</v>
      </c>
      <c r="E42" s="10" t="str">
        <f t="shared" si="3"/>
        <v>Sunday</v>
      </c>
      <c r="F42" s="10" t="str">
        <f t="shared" si="4"/>
        <v>24</v>
      </c>
    </row>
    <row r="43" spans="1:6" x14ac:dyDescent="0.3">
      <c r="A43" s="7" t="s">
        <v>147</v>
      </c>
      <c r="B43" s="10" t="str">
        <f t="shared" si="0"/>
        <v>20054</v>
      </c>
      <c r="C43" s="1" t="str">
        <f t="shared" si="1"/>
        <v>Monday</v>
      </c>
      <c r="D43" s="1" t="str">
        <f t="shared" si="2"/>
        <v>0</v>
      </c>
      <c r="E43" s="10" t="str">
        <f t="shared" si="3"/>
        <v>Sunday</v>
      </c>
      <c r="F43" s="10" t="str">
        <f t="shared" si="4"/>
        <v>24</v>
      </c>
    </row>
    <row r="44" spans="1:6" x14ac:dyDescent="0.3">
      <c r="A44" s="7" t="s">
        <v>148</v>
      </c>
      <c r="B44" s="10" t="str">
        <f t="shared" si="0"/>
        <v>20058</v>
      </c>
      <c r="C44" s="1" t="str">
        <f t="shared" si="1"/>
        <v>Monday</v>
      </c>
      <c r="D44" s="1" t="str">
        <f t="shared" si="2"/>
        <v>0</v>
      </c>
      <c r="E44" s="10" t="str">
        <f t="shared" si="3"/>
        <v>Sunday</v>
      </c>
      <c r="F44" s="10" t="str">
        <f t="shared" si="4"/>
        <v>24</v>
      </c>
    </row>
    <row r="45" spans="1:6" x14ac:dyDescent="0.3">
      <c r="A45" s="7" t="s">
        <v>149</v>
      </c>
      <c r="B45" s="10" t="str">
        <f t="shared" si="0"/>
        <v>20060</v>
      </c>
      <c r="C45" s="1" t="str">
        <f t="shared" si="1"/>
        <v>Monday</v>
      </c>
      <c r="D45" s="1" t="str">
        <f t="shared" si="2"/>
        <v>0</v>
      </c>
      <c r="E45" s="10" t="str">
        <f t="shared" si="3"/>
        <v>Sunday</v>
      </c>
      <c r="F45" s="10" t="str">
        <f t="shared" si="4"/>
        <v>24</v>
      </c>
    </row>
    <row r="46" spans="1:6" x14ac:dyDescent="0.3">
      <c r="A46" s="7" t="s">
        <v>111</v>
      </c>
      <c r="B46" s="10" t="str">
        <f t="shared" si="0"/>
        <v>21000</v>
      </c>
      <c r="C46" s="1" t="str">
        <f t="shared" si="1"/>
        <v>Monday</v>
      </c>
      <c r="D46" s="1" t="str">
        <f t="shared" si="2"/>
        <v>0</v>
      </c>
      <c r="E46" s="10" t="str">
        <f t="shared" si="3"/>
        <v>Sunday</v>
      </c>
      <c r="F46" s="10" t="str">
        <f t="shared" si="4"/>
        <v>24</v>
      </c>
    </row>
    <row r="47" spans="1:6" x14ac:dyDescent="0.3">
      <c r="A47" s="7" t="s">
        <v>112</v>
      </c>
      <c r="B47" s="10" t="str">
        <f t="shared" si="0"/>
        <v>21002</v>
      </c>
      <c r="C47" s="1" t="str">
        <f t="shared" si="1"/>
        <v>Monday</v>
      </c>
      <c r="D47" s="1" t="str">
        <f t="shared" si="2"/>
        <v>0</v>
      </c>
      <c r="E47" s="10" t="str">
        <f t="shared" si="3"/>
        <v>Sunday</v>
      </c>
      <c r="F47" s="10" t="str">
        <f t="shared" si="4"/>
        <v>24</v>
      </c>
    </row>
    <row r="48" spans="1:6" x14ac:dyDescent="0.3">
      <c r="A48" s="7" t="s">
        <v>113</v>
      </c>
      <c r="B48" s="10" t="str">
        <f t="shared" si="0"/>
        <v>21004</v>
      </c>
      <c r="C48" s="1" t="str">
        <f t="shared" si="1"/>
        <v>Monday</v>
      </c>
      <c r="D48" s="1" t="str">
        <f t="shared" si="2"/>
        <v>0</v>
      </c>
      <c r="E48" s="10" t="str">
        <f t="shared" si="3"/>
        <v>Sunday</v>
      </c>
      <c r="F48" s="10" t="str">
        <f t="shared" si="4"/>
        <v>24</v>
      </c>
    </row>
    <row r="49" spans="1:6" x14ac:dyDescent="0.3">
      <c r="A49" s="7" t="s">
        <v>114</v>
      </c>
      <c r="B49" s="10" t="str">
        <f t="shared" si="0"/>
        <v>21006</v>
      </c>
      <c r="C49" s="1" t="str">
        <f t="shared" si="1"/>
        <v>Monday</v>
      </c>
      <c r="D49" s="1" t="str">
        <f t="shared" si="2"/>
        <v>0</v>
      </c>
      <c r="E49" s="10" t="str">
        <f t="shared" si="3"/>
        <v>Sunday</v>
      </c>
      <c r="F49" s="10" t="str">
        <f t="shared" si="4"/>
        <v>24</v>
      </c>
    </row>
    <row r="50" spans="1:6" x14ac:dyDescent="0.3">
      <c r="A50" s="7" t="s">
        <v>115</v>
      </c>
      <c r="B50" s="10" t="str">
        <f t="shared" si="0"/>
        <v>21008</v>
      </c>
      <c r="C50" s="1" t="str">
        <f t="shared" si="1"/>
        <v>Monday</v>
      </c>
      <c r="D50" s="1" t="str">
        <f t="shared" si="2"/>
        <v>0</v>
      </c>
      <c r="E50" s="10" t="str">
        <f t="shared" si="3"/>
        <v>Sunday</v>
      </c>
      <c r="F50" s="10" t="str">
        <f t="shared" si="4"/>
        <v>24</v>
      </c>
    </row>
    <row r="51" spans="1:6" x14ac:dyDescent="0.3">
      <c r="A51" s="7" t="s">
        <v>116</v>
      </c>
      <c r="B51" s="10" t="str">
        <f t="shared" si="0"/>
        <v>21010</v>
      </c>
      <c r="C51" s="1" t="str">
        <f t="shared" si="1"/>
        <v>Monday</v>
      </c>
      <c r="D51" s="1" t="str">
        <f t="shared" si="2"/>
        <v>0</v>
      </c>
      <c r="E51" s="10" t="str">
        <f t="shared" si="3"/>
        <v>Sunday</v>
      </c>
      <c r="F51" s="10" t="str">
        <f t="shared" si="4"/>
        <v>24</v>
      </c>
    </row>
    <row r="52" spans="1:6" x14ac:dyDescent="0.3">
      <c r="A52" s="7" t="s">
        <v>117</v>
      </c>
      <c r="B52" s="10" t="str">
        <f t="shared" si="0"/>
        <v>21012</v>
      </c>
      <c r="C52" s="1" t="str">
        <f t="shared" si="1"/>
        <v>Monday</v>
      </c>
      <c r="D52" s="1" t="str">
        <f t="shared" si="2"/>
        <v>0</v>
      </c>
      <c r="E52" s="10" t="str">
        <f t="shared" si="3"/>
        <v>Sunday</v>
      </c>
      <c r="F52" s="10" t="str">
        <f t="shared" si="4"/>
        <v>24</v>
      </c>
    </row>
    <row r="53" spans="1:6" x14ac:dyDescent="0.3">
      <c r="A53" s="7" t="s">
        <v>118</v>
      </c>
      <c r="B53" s="10" t="str">
        <f t="shared" si="0"/>
        <v>21014</v>
      </c>
      <c r="C53" s="1" t="str">
        <f t="shared" si="1"/>
        <v>Monday</v>
      </c>
      <c r="D53" s="1" t="str">
        <f t="shared" si="2"/>
        <v>0</v>
      </c>
      <c r="E53" s="10" t="str">
        <f t="shared" si="3"/>
        <v>Sunday</v>
      </c>
      <c r="F53" s="10" t="str">
        <f t="shared" si="4"/>
        <v>24</v>
      </c>
    </row>
    <row r="54" spans="1:6" x14ac:dyDescent="0.3">
      <c r="A54" s="8" t="s">
        <v>119</v>
      </c>
      <c r="B54" s="10" t="str">
        <f t="shared" si="0"/>
        <v>21016</v>
      </c>
      <c r="C54" s="1" t="str">
        <f t="shared" si="1"/>
        <v>Monday</v>
      </c>
      <c r="D54" s="1" t="str">
        <f t="shared" si="2"/>
        <v>0</v>
      </c>
      <c r="E54" s="10" t="str">
        <f t="shared" si="3"/>
        <v>Sunday</v>
      </c>
      <c r="F54" s="10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C12" sqref="C12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166</v>
      </c>
    </row>
    <row r="2" spans="1:3" ht="18" x14ac:dyDescent="0.35">
      <c r="B2" s="37" t="s">
        <v>165</v>
      </c>
    </row>
    <row r="5" spans="1:3" ht="14.4" x14ac:dyDescent="0.3">
      <c r="B5" s="1" t="s">
        <v>150</v>
      </c>
    </row>
    <row r="6" spans="1:3" ht="14.4" x14ac:dyDescent="0.3">
      <c r="A6" s="3" t="s">
        <v>53</v>
      </c>
      <c r="B6" s="1" t="s">
        <v>187</v>
      </c>
    </row>
    <row r="7" spans="1:3" ht="14.4" x14ac:dyDescent="0.3">
      <c r="A7" s="3" t="s">
        <v>190</v>
      </c>
      <c r="B7" s="1" t="s">
        <v>191</v>
      </c>
    </row>
    <row r="8" spans="1:3" ht="14.4" x14ac:dyDescent="0.3">
      <c r="A8" s="3" t="s">
        <v>189</v>
      </c>
      <c r="B8" s="2" t="s">
        <v>188</v>
      </c>
    </row>
    <row r="10" spans="1:3" ht="23.4" x14ac:dyDescent="0.45">
      <c r="A10" s="16" t="s">
        <v>161</v>
      </c>
    </row>
    <row r="11" spans="1:3" ht="14.4" x14ac:dyDescent="0.3">
      <c r="A11" s="30" t="s">
        <v>86</v>
      </c>
      <c r="B11" s="15" t="s">
        <v>87</v>
      </c>
      <c r="C11" s="15" t="s">
        <v>88</v>
      </c>
    </row>
    <row r="12" spans="1:3" ht="14.4" x14ac:dyDescent="0.3">
      <c r="A12" s="30">
        <v>44927</v>
      </c>
      <c r="B12" s="15" t="s">
        <v>59</v>
      </c>
      <c r="C12" s="15">
        <v>200</v>
      </c>
    </row>
    <row r="13" spans="1:3" ht="14.4" x14ac:dyDescent="0.3">
      <c r="A13" s="30">
        <v>44928</v>
      </c>
      <c r="B13" s="15" t="s">
        <v>60</v>
      </c>
      <c r="C13" s="15">
        <v>20</v>
      </c>
    </row>
    <row r="14" spans="1:3" ht="14.4" x14ac:dyDescent="0.3">
      <c r="A14" s="30">
        <v>44929</v>
      </c>
      <c r="B14" s="15" t="s">
        <v>61</v>
      </c>
      <c r="C14" s="15">
        <v>50</v>
      </c>
    </row>
    <row r="15" spans="1:3" ht="14.4" x14ac:dyDescent="0.3">
      <c r="A15" s="30">
        <v>44930</v>
      </c>
      <c r="B15" s="15" t="s">
        <v>62</v>
      </c>
      <c r="C15" s="15">
        <v>20</v>
      </c>
    </row>
    <row r="16" spans="1:3" ht="14.4" x14ac:dyDescent="0.3">
      <c r="A16" s="30">
        <v>44931</v>
      </c>
      <c r="B16" s="15" t="s">
        <v>63</v>
      </c>
      <c r="C16" s="15">
        <v>10</v>
      </c>
    </row>
    <row r="17" spans="1:3" ht="14.4" x14ac:dyDescent="0.3">
      <c r="A17" s="30">
        <v>44932</v>
      </c>
      <c r="B17" s="15" t="s">
        <v>153</v>
      </c>
      <c r="C17" s="15">
        <v>150</v>
      </c>
    </row>
    <row r="18" spans="1:3" ht="14.4" x14ac:dyDescent="0.3">
      <c r="A18" s="30">
        <v>44933</v>
      </c>
      <c r="B18" s="15" t="s">
        <v>154</v>
      </c>
      <c r="C18" s="15">
        <v>80</v>
      </c>
    </row>
    <row r="19" spans="1:3" ht="14.4" x14ac:dyDescent="0.3">
      <c r="A19" s="30">
        <v>44934</v>
      </c>
      <c r="B19" s="15" t="s">
        <v>155</v>
      </c>
      <c r="C19" s="15">
        <v>20</v>
      </c>
    </row>
    <row r="20" spans="1:3" ht="14.4" x14ac:dyDescent="0.3">
      <c r="A20" s="30">
        <v>44935</v>
      </c>
      <c r="B20" s="15" t="s">
        <v>156</v>
      </c>
      <c r="C20" s="15">
        <v>30</v>
      </c>
    </row>
    <row r="21" spans="1:3" ht="14.4" x14ac:dyDescent="0.3">
      <c r="A21" s="30">
        <v>44936</v>
      </c>
      <c r="B21" s="15" t="s">
        <v>157</v>
      </c>
      <c r="C21" s="15">
        <v>20</v>
      </c>
    </row>
    <row r="22" spans="1:3" ht="14.4" x14ac:dyDescent="0.3">
      <c r="B22" s="15" t="s">
        <v>158</v>
      </c>
      <c r="C22" s="23">
        <f>SUM(C12:C21)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abSelected="1" zoomScale="115" zoomScaleNormal="115" workbookViewId="0">
      <selection activeCell="B10" sqref="B10"/>
    </sheetView>
  </sheetViews>
  <sheetFormatPr defaultColWidth="11" defaultRowHeight="13.8" x14ac:dyDescent="0.3"/>
  <cols>
    <col min="1" max="1" width="23.88671875" style="2" customWidth="1"/>
    <col min="2" max="10" width="11" style="2"/>
    <col min="11" max="11" width="16.6640625" style="2" customWidth="1"/>
    <col min="12" max="16384" width="11" style="2"/>
  </cols>
  <sheetData>
    <row r="1" spans="1:14" ht="21" x14ac:dyDescent="0.4">
      <c r="A1" s="39" t="s">
        <v>98</v>
      </c>
      <c r="B1" s="38" t="s">
        <v>174</v>
      </c>
    </row>
    <row r="3" spans="1:14" ht="14.4" x14ac:dyDescent="0.3">
      <c r="B3" s="1" t="s">
        <v>150</v>
      </c>
    </row>
    <row r="4" spans="1:14" ht="18" x14ac:dyDescent="0.35">
      <c r="A4" s="40" t="s">
        <v>53</v>
      </c>
      <c r="B4" s="1"/>
      <c r="C4" s="2" t="s">
        <v>192</v>
      </c>
    </row>
    <row r="5" spans="1:14" ht="18" x14ac:dyDescent="0.35">
      <c r="A5" s="40" t="s">
        <v>152</v>
      </c>
      <c r="B5" s="1"/>
      <c r="C5" s="2" t="s">
        <v>194</v>
      </c>
    </row>
    <row r="6" spans="1:14" ht="14.4" x14ac:dyDescent="0.3">
      <c r="A6" s="3"/>
      <c r="B6" s="1"/>
    </row>
    <row r="8" spans="1:14" ht="23.4" x14ac:dyDescent="0.45">
      <c r="A8" s="16" t="s">
        <v>161</v>
      </c>
      <c r="M8" s="16" t="s">
        <v>162</v>
      </c>
    </row>
    <row r="9" spans="1:14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M9" s="17" t="s">
        <v>43</v>
      </c>
      <c r="N9" s="17" t="s">
        <v>99</v>
      </c>
    </row>
    <row r="10" spans="1:14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M10" s="10">
        <v>10100</v>
      </c>
      <c r="N10" s="10" t="s">
        <v>89</v>
      </c>
    </row>
    <row r="11" spans="1:14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M11" s="10">
        <v>10102</v>
      </c>
      <c r="N11" s="10" t="s">
        <v>90</v>
      </c>
    </row>
    <row r="12" spans="1:14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M12" s="10">
        <v>10104</v>
      </c>
      <c r="N12" s="10" t="s">
        <v>91</v>
      </c>
    </row>
    <row r="13" spans="1:14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M13" s="10">
        <v>10106</v>
      </c>
      <c r="N13" s="10" t="s">
        <v>92</v>
      </c>
    </row>
    <row r="14" spans="1:14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M14" s="10">
        <v>10108</v>
      </c>
      <c r="N14" s="10" t="s">
        <v>93</v>
      </c>
    </row>
    <row r="15" spans="1:14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M15" s="10">
        <v>10110</v>
      </c>
      <c r="N15" s="10" t="s">
        <v>94</v>
      </c>
    </row>
    <row r="16" spans="1:14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M16" s="10">
        <v>10112</v>
      </c>
      <c r="N16" s="10" t="s">
        <v>95</v>
      </c>
    </row>
    <row r="17" spans="1:14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M17" s="10">
        <v>10114</v>
      </c>
      <c r="N17" s="10" t="s">
        <v>96</v>
      </c>
    </row>
    <row r="18" spans="1:14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M18" s="11">
        <v>10116</v>
      </c>
      <c r="N18" s="11" t="s">
        <v>97</v>
      </c>
    </row>
    <row r="21" spans="1:14" ht="23.4" x14ac:dyDescent="0.45">
      <c r="A21" s="16" t="s">
        <v>167</v>
      </c>
    </row>
    <row r="22" spans="1:14" ht="14.4" x14ac:dyDescent="0.3">
      <c r="A22" s="12" t="s">
        <v>100</v>
      </c>
      <c r="B22" s="15" t="s">
        <v>101</v>
      </c>
      <c r="C22" s="14" t="s">
        <v>102</v>
      </c>
    </row>
    <row r="23" spans="1:14" ht="14.4" x14ac:dyDescent="0.3">
      <c r="A23" s="7">
        <v>10100</v>
      </c>
      <c r="B23" s="10">
        <v>10102</v>
      </c>
      <c r="C23" s="41">
        <f>INDEX($B$10:$J$18,MATCH($A23,$M$10:$M$18,0),MATCH($B23,$M$10:$M$18,0))</f>
        <v>95</v>
      </c>
    </row>
    <row r="24" spans="1:14" ht="14.4" x14ac:dyDescent="0.3">
      <c r="A24" s="7">
        <v>10100</v>
      </c>
      <c r="B24" s="10">
        <v>10104</v>
      </c>
      <c r="C24" s="41">
        <f>INDEX($B$10:$J$18,MATCH($A24,$M$10:$M$18,0),MATCH($B24,$M$10:$M$18,0))</f>
        <v>-1</v>
      </c>
    </row>
    <row r="25" spans="1:14" ht="14.4" x14ac:dyDescent="0.3">
      <c r="A25" s="7">
        <v>10108</v>
      </c>
      <c r="B25" s="10">
        <v>10102</v>
      </c>
      <c r="C25" s="41">
        <f t="shared" ref="C25:C35" si="0">INDEX($B$10:$J$18,MATCH($A25,$M$10:$M$18,0),MATCH($B25,$M$10:$M$18,0))</f>
        <v>160</v>
      </c>
    </row>
    <row r="26" spans="1:14" ht="14.4" x14ac:dyDescent="0.3">
      <c r="A26" s="7">
        <v>10100</v>
      </c>
      <c r="B26" s="10">
        <v>10106</v>
      </c>
      <c r="C26" s="41">
        <f t="shared" si="0"/>
        <v>185</v>
      </c>
    </row>
    <row r="27" spans="1:14" ht="14.4" x14ac:dyDescent="0.3">
      <c r="A27" s="7">
        <v>10108</v>
      </c>
      <c r="B27" s="10">
        <v>10110</v>
      </c>
      <c r="C27" s="41">
        <f t="shared" si="0"/>
        <v>50</v>
      </c>
    </row>
    <row r="28" spans="1:14" ht="14.4" x14ac:dyDescent="0.3">
      <c r="A28" s="7">
        <v>10102</v>
      </c>
      <c r="B28" s="10">
        <v>10104</v>
      </c>
      <c r="C28" s="41">
        <f t="shared" si="0"/>
        <v>-1</v>
      </c>
    </row>
    <row r="29" spans="1:14" ht="14.4" x14ac:dyDescent="0.3">
      <c r="A29" s="7">
        <v>10106</v>
      </c>
      <c r="B29" s="10">
        <v>10108</v>
      </c>
      <c r="C29" s="41">
        <f t="shared" si="0"/>
        <v>70</v>
      </c>
    </row>
    <row r="30" spans="1:14" ht="14.4" x14ac:dyDescent="0.3">
      <c r="A30" s="7">
        <v>10102</v>
      </c>
      <c r="B30" s="10">
        <v>10106</v>
      </c>
      <c r="C30" s="41">
        <f t="shared" si="0"/>
        <v>90</v>
      </c>
    </row>
    <row r="31" spans="1:14" ht="14.4" x14ac:dyDescent="0.3">
      <c r="A31" s="7">
        <v>10110</v>
      </c>
      <c r="B31" s="10">
        <v>10114</v>
      </c>
      <c r="C31" s="41">
        <f t="shared" si="0"/>
        <v>180</v>
      </c>
    </row>
    <row r="32" spans="1:14" ht="14.4" x14ac:dyDescent="0.3">
      <c r="A32" s="7">
        <v>10104</v>
      </c>
      <c r="B32" s="10">
        <v>10106</v>
      </c>
      <c r="C32" s="41">
        <f t="shared" si="0"/>
        <v>60</v>
      </c>
    </row>
    <row r="33" spans="1:3" ht="14.4" x14ac:dyDescent="0.3">
      <c r="A33" s="7">
        <v>10110</v>
      </c>
      <c r="B33" s="10">
        <v>10112</v>
      </c>
      <c r="C33" s="41">
        <f t="shared" si="0"/>
        <v>115</v>
      </c>
    </row>
    <row r="34" spans="1:3" ht="14.4" x14ac:dyDescent="0.3">
      <c r="A34" s="7">
        <v>10100</v>
      </c>
      <c r="B34" s="10">
        <v>10114</v>
      </c>
      <c r="C34" s="41">
        <f t="shared" si="0"/>
        <v>480</v>
      </c>
    </row>
    <row r="35" spans="1:3" ht="14.4" x14ac:dyDescent="0.3">
      <c r="A35" s="8">
        <v>10112</v>
      </c>
      <c r="B35" s="11">
        <v>10116</v>
      </c>
      <c r="C35" s="41">
        <f t="shared" si="0"/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Arijeet Karmakar</cp:lastModifiedBy>
  <dcterms:created xsi:type="dcterms:W3CDTF">2015-02-10T17:33:11Z</dcterms:created>
  <dcterms:modified xsi:type="dcterms:W3CDTF">2025-01-05T14:34:47Z</dcterms:modified>
</cp:coreProperties>
</file>